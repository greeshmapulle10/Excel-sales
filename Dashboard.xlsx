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1"/>
  <workbookPr hidePivotFieldList="1"/>
  <xr:revisionPtr revIDLastSave="528" documentId="11_0B1D56BE9CDCCE836B02CE7A5FB0D4A9BBFD1C62" xr6:coauthVersionLast="47" xr6:coauthVersionMax="47" xr10:uidLastSave="{52CA14E6-9491-493C-BB2C-E2C786DC250D}"/>
  <bookViews>
    <workbookView xWindow="240" yWindow="105" windowWidth="14805" windowHeight="8010" firstSheet="2" activeTab="2" xr2:uid="{00000000-000D-0000-FFFF-FFFF00000000}"/>
  </bookViews>
  <sheets>
    <sheet name="Detail1" sheetId="3" r:id="rId1"/>
    <sheet name="Detail2" sheetId="4" r:id="rId2"/>
    <sheet name="dashboard" sheetId="2" r:id="rId3"/>
    <sheet name="raw data" sheetId="1" r:id="rId4"/>
  </sheets>
  <definedNames>
    <definedName name="Slicer_Region">#N/A</definedName>
  </definedNames>
  <calcPr calcId="191028"/>
  <pivotCaches>
    <pivotCache cacheId="371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<sst xmlns="http://schemas.openxmlformats.org/spreadsheetml/2006/main" count="434" uniqueCount="150">
  <si>
    <t>Details for  UnitsSold - CustomerId: C003</t>
  </si>
  <si>
    <t>OrderID</t>
  </si>
  <si>
    <t>Date</t>
  </si>
  <si>
    <t>CustomerId</t>
  </si>
  <si>
    <t>Region</t>
  </si>
  <si>
    <t>Channel</t>
  </si>
  <si>
    <t>Category</t>
  </si>
  <si>
    <t>Product</t>
  </si>
  <si>
    <t>UnitsSold</t>
  </si>
  <si>
    <t>UnitPrice</t>
  </si>
  <si>
    <t>Discount%</t>
  </si>
  <si>
    <t>CostPerUnit</t>
  </si>
  <si>
    <t>OrderStatus</t>
  </si>
  <si>
    <t>ShippingCost</t>
  </si>
  <si>
    <t>ORD003</t>
  </si>
  <si>
    <t>C003</t>
  </si>
  <si>
    <t>East</t>
  </si>
  <si>
    <t>Online</t>
  </si>
  <si>
    <t>Stationery</t>
  </si>
  <si>
    <t>Pen Set</t>
  </si>
  <si>
    <t>Completed</t>
  </si>
  <si>
    <t>Details for  UnitsSold - CustomerId: C014</t>
  </si>
  <si>
    <t>ORD014</t>
  </si>
  <si>
    <t>C014</t>
  </si>
  <si>
    <t>South</t>
  </si>
  <si>
    <t>Store</t>
  </si>
  <si>
    <t>Paper Ream</t>
  </si>
  <si>
    <t xml:space="preserve"> UnitsSold</t>
  </si>
  <si>
    <t xml:space="preserve">        Price</t>
  </si>
  <si>
    <t xml:space="preserve">      Price</t>
  </si>
  <si>
    <t>C026</t>
  </si>
  <si>
    <t>C002</t>
  </si>
  <si>
    <t>C018</t>
  </si>
  <si>
    <t>C030</t>
  </si>
  <si>
    <t>C006</t>
  </si>
  <si>
    <t>C022</t>
  </si>
  <si>
    <t>C042</t>
  </si>
  <si>
    <t>C010</t>
  </si>
  <si>
    <t>C046</t>
  </si>
  <si>
    <t>C050</t>
  </si>
  <si>
    <t>C034</t>
  </si>
  <si>
    <t>C038</t>
  </si>
  <si>
    <t>ORD001</t>
  </si>
  <si>
    <t>C001</t>
  </si>
  <si>
    <t>North</t>
  </si>
  <si>
    <t>Electronics</t>
  </si>
  <si>
    <t>Laptop</t>
  </si>
  <si>
    <t>ORD002</t>
  </si>
  <si>
    <t>Furniture</t>
  </si>
  <si>
    <t>Office Chair</t>
  </si>
  <si>
    <t>ORD004</t>
  </si>
  <si>
    <t>C004</t>
  </si>
  <si>
    <t>West</t>
  </si>
  <si>
    <t>Smartphone</t>
  </si>
  <si>
    <t>ORD005</t>
  </si>
  <si>
    <t>C005</t>
  </si>
  <si>
    <t>Study Table</t>
  </si>
  <si>
    <t>ORD006</t>
  </si>
  <si>
    <t>Headphones</t>
  </si>
  <si>
    <t>ORD007</t>
  </si>
  <si>
    <t>C007</t>
  </si>
  <si>
    <t>Office Desk</t>
  </si>
  <si>
    <t>ORD008</t>
  </si>
  <si>
    <t>C008</t>
  </si>
  <si>
    <t>Marker Set</t>
  </si>
  <si>
    <t>ORD009</t>
  </si>
  <si>
    <t>C009</t>
  </si>
  <si>
    <t>Tablet</t>
  </si>
  <si>
    <t>Returned</t>
  </si>
  <si>
    <t>ORD010</t>
  </si>
  <si>
    <t>Bookshelf</t>
  </si>
  <si>
    <t>ORD011</t>
  </si>
  <si>
    <t>C011</t>
  </si>
  <si>
    <t>File Folder</t>
  </si>
  <si>
    <t>ORD012</t>
  </si>
  <si>
    <t>C012</t>
  </si>
  <si>
    <t>Monitor</t>
  </si>
  <si>
    <t>ORD013</t>
  </si>
  <si>
    <t>C013</t>
  </si>
  <si>
    <t>Cabinet</t>
  </si>
  <si>
    <t>ORD015</t>
  </si>
  <si>
    <t>C015</t>
  </si>
  <si>
    <t>Keyboard</t>
  </si>
  <si>
    <t>ORD016</t>
  </si>
  <si>
    <t>C016</t>
  </si>
  <si>
    <t>Sofa Chair</t>
  </si>
  <si>
    <t>ORD017</t>
  </si>
  <si>
    <t>C017</t>
  </si>
  <si>
    <t>Smartwatch</t>
  </si>
  <si>
    <t>ORD018</t>
  </si>
  <si>
    <t>Sticky Notes</t>
  </si>
  <si>
    <t>ORD019</t>
  </si>
  <si>
    <t>C019</t>
  </si>
  <si>
    <t>Earbuds</t>
  </si>
  <si>
    <t>ORD020</t>
  </si>
  <si>
    <t>C020</t>
  </si>
  <si>
    <t>Shoe Rack</t>
  </si>
  <si>
    <t>ORD021</t>
  </si>
  <si>
    <t>C021</t>
  </si>
  <si>
    <t>ORD022</t>
  </si>
  <si>
    <t>Highlighters</t>
  </si>
  <si>
    <t>ORD023</t>
  </si>
  <si>
    <t>C023</t>
  </si>
  <si>
    <t>ORD024</t>
  </si>
  <si>
    <t>C024</t>
  </si>
  <si>
    <t>ORD025</t>
  </si>
  <si>
    <t>C025</t>
  </si>
  <si>
    <t>ORD026</t>
  </si>
  <si>
    <t>ORD027</t>
  </si>
  <si>
    <t>C027</t>
  </si>
  <si>
    <t>ORD028</t>
  </si>
  <si>
    <t>C028</t>
  </si>
  <si>
    <t>ORD029</t>
  </si>
  <si>
    <t>C029</t>
  </si>
  <si>
    <t>ORD030</t>
  </si>
  <si>
    <t>ORD031</t>
  </si>
  <si>
    <t>C031</t>
  </si>
  <si>
    <t>ORD032</t>
  </si>
  <si>
    <t>C032</t>
  </si>
  <si>
    <t>ORD033</t>
  </si>
  <si>
    <t>C033</t>
  </si>
  <si>
    <t>ORD034</t>
  </si>
  <si>
    <t>ORD035</t>
  </si>
  <si>
    <t>C035</t>
  </si>
  <si>
    <t>ORD036</t>
  </si>
  <si>
    <t>C036</t>
  </si>
  <si>
    <t>ORD037</t>
  </si>
  <si>
    <t>C037</t>
  </si>
  <si>
    <t>ORD038</t>
  </si>
  <si>
    <t>ORD039</t>
  </si>
  <si>
    <t>C039</t>
  </si>
  <si>
    <t>ORD040</t>
  </si>
  <si>
    <t>C040</t>
  </si>
  <si>
    <t>ORD041</t>
  </si>
  <si>
    <t>C041</t>
  </si>
  <si>
    <t>ORD042</t>
  </si>
  <si>
    <t>ORD043</t>
  </si>
  <si>
    <t>C043</t>
  </si>
  <si>
    <t>ORD044</t>
  </si>
  <si>
    <t>C044</t>
  </si>
  <si>
    <t>ORD045</t>
  </si>
  <si>
    <t>C045</t>
  </si>
  <si>
    <t>ORD046</t>
  </si>
  <si>
    <t>ORD047</t>
  </si>
  <si>
    <t>C047</t>
  </si>
  <si>
    <t>ORD048</t>
  </si>
  <si>
    <t>C048</t>
  </si>
  <si>
    <t>ORD049</t>
  </si>
  <si>
    <t>C049</t>
  </si>
  <si>
    <t>ORD050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</si>
</sst>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2" borderId="0" xfId="0" applyFill="1"/>
    <xf numFmtId="0" fontId="0" fillId="2" borderId="0" xfId="0" applyNumberFormat="1" applyFill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[Dashboard.xlsx]dashboard!PivotTable3</c:name>
    <c:fmtId val="0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dashboard!$A$4:$A$8</c:f>
              <c:strCache>
                <c:ptCount val="5"/>
                <c:pt idx="0">
                  <c:v>C014</c:v>
                </c:pt>
                <c:pt idx="1">
                  <c:v>C018</c:v>
                </c:pt>
                <c:pt idx="2">
                  <c:v>C022</c:v>
                </c:pt>
                <c:pt idx="3">
                  <c:v>C046</c:v>
                </c:pt>
                <c:pt idx="4">
                  <c:v>C050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5"/>
                <c:pt idx="0">
                  <c:v>25</c:v>
                </c:pt>
                <c:pt idx="1">
                  <c:v>30</c:v>
                </c:pt>
                <c:pt idx="2">
                  <c:v>18</c:v>
                </c:pt>
                <c:pt idx="3">
                  <c:v>15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0-405D-B63B-7B3FE8964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7249160"/>
        <c:axId val="1519534088"/>
      </c:barChart>
      <c:catAx>
        <c:axId val="267249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534088"/>
        <c:crosses val="autoZero"/>
        <c:auto val="1"/>
        <c:lblAlgn val="ctr"/>
        <c:lblOffset val="100"/>
        <c:noMultiLvlLbl val="0"/>
      </c:catAx>
      <c:valAx>
        <c:axId val="151953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24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A6C9E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[Dashboard.xlsx]dashboard!PivotTable5</c:name>
    <c:fmtId val="0"/>
  </c:pivotSource>
  <c:chart>
    <c:autoTitleDeleted val="1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dashboard!$D$4:$D$7</c:f>
              <c:strCache>
                <c:ptCount val="4"/>
                <c:pt idx="0">
                  <c:v>C026</c:v>
                </c:pt>
                <c:pt idx="1">
                  <c:v>C030</c:v>
                </c:pt>
                <c:pt idx="2">
                  <c:v>C042</c:v>
                </c:pt>
                <c:pt idx="3">
                  <c:v>C046</c:v>
                </c:pt>
              </c:strCache>
            </c:strRef>
          </c:cat>
          <c:val>
            <c:numRef>
              <c:f>dashboard!$E$4:$E$7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14</c:v>
                </c:pt>
                <c:pt idx="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CB-4EC6-B8E3-1DA5DD518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806087"/>
        <c:axId val="1519539208"/>
      </c:lineChart>
      <c:catAx>
        <c:axId val="1741806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8E8E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539208"/>
        <c:crosses val="autoZero"/>
        <c:auto val="1"/>
        <c:lblAlgn val="ctr"/>
        <c:lblOffset val="100"/>
        <c:noMultiLvlLbl val="0"/>
      </c:catAx>
      <c:valAx>
        <c:axId val="151953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806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[Dashboard.xlsx]dashboard!PivotTable6</c:name>
    <c:fmtId val="1"/>
  </c:pivotSource>
  <c:chart>
    <c:autoTitleDeleted val="1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06-4F25-846B-9D845FD5644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06-4F25-846B-9D845FD56443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06-4F25-846B-9D845FD56443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06-4F25-846B-9D845FD56443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D06-4F25-846B-9D845FD56443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D06-4F25-846B-9D845FD564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dashboard!$G$4:$G$9</c:f>
              <c:strCache>
                <c:ptCount val="6"/>
                <c:pt idx="0">
                  <c:v>C002</c:v>
                </c:pt>
                <c:pt idx="1">
                  <c:v>C006</c:v>
                </c:pt>
                <c:pt idx="2">
                  <c:v>C010</c:v>
                </c:pt>
                <c:pt idx="3">
                  <c:v>C014</c:v>
                </c:pt>
                <c:pt idx="4">
                  <c:v>C034</c:v>
                </c:pt>
                <c:pt idx="5">
                  <c:v>C038</c:v>
                </c:pt>
              </c:strCache>
            </c:strRef>
          </c:cat>
          <c:val>
            <c:numRef>
              <c:f>dashboard!$H$4:$H$9</c:f>
              <c:numCache>
                <c:formatCode>General</c:formatCode>
                <c:ptCount val="6"/>
                <c:pt idx="0">
                  <c:v>4500</c:v>
                </c:pt>
                <c:pt idx="1">
                  <c:v>2500</c:v>
                </c:pt>
                <c:pt idx="2">
                  <c:v>8000</c:v>
                </c:pt>
                <c:pt idx="3">
                  <c:v>250</c:v>
                </c:pt>
                <c:pt idx="4">
                  <c:v>54000</c:v>
                </c:pt>
                <c:pt idx="5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6-475E-B062-5ACABA37B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AE9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[Dashboard.xlsx]dashboard!PivotTable7</c:name>
    <c:fmtId val="0"/>
  </c:pivotSource>
  <c:chart>
    <c:autoTitleDeleted val="1"/>
    <c:pivotFmts>
      <c:pivotFmt>
        <c:idx val="0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dashboard!$K$3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cat>
            <c:strRef>
              <c:f>dashboard!$J$4:$J$9</c:f>
              <c:strCache>
                <c:ptCount val="6"/>
                <c:pt idx="0">
                  <c:v>C018</c:v>
                </c:pt>
                <c:pt idx="1">
                  <c:v>C022</c:v>
                </c:pt>
                <c:pt idx="2">
                  <c:v>C026</c:v>
                </c:pt>
                <c:pt idx="3">
                  <c:v>C030</c:v>
                </c:pt>
                <c:pt idx="4">
                  <c:v>C042</c:v>
                </c:pt>
                <c:pt idx="5">
                  <c:v>C046</c:v>
                </c:pt>
              </c:strCache>
            </c:strRef>
          </c:cat>
          <c:val>
            <c:numRef>
              <c:f>dashboard!$K$4:$K$9</c:f>
              <c:numCache>
                <c:formatCode>General</c:formatCode>
                <c:ptCount val="6"/>
                <c:pt idx="0">
                  <c:v>60</c:v>
                </c:pt>
                <c:pt idx="1">
                  <c:v>120</c:v>
                </c:pt>
                <c:pt idx="2">
                  <c:v>90</c:v>
                </c:pt>
                <c:pt idx="3">
                  <c:v>160</c:v>
                </c:pt>
                <c:pt idx="4">
                  <c:v>130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D-417B-B5E3-C560E2FC8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74215"/>
        <c:axId val="1562597383"/>
      </c:areaChart>
      <c:catAx>
        <c:axId val="148574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597383"/>
        <c:crosses val="autoZero"/>
        <c:auto val="1"/>
        <c:lblAlgn val="ctr"/>
        <c:lblOffset val="100"/>
        <c:noMultiLvlLbl val="0"/>
      </c:catAx>
      <c:valAx>
        <c:axId val="1562597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4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9525</xdr:rowOff>
    </xdr:from>
    <xdr:to>
      <xdr:col>2</xdr:col>
      <xdr:colOff>9525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4DA5D-C6F1-DE73-8BF9-4D32C9F25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247650</xdr:colOff>
      <xdr:row>9</xdr:row>
      <xdr:rowOff>180975</xdr:rowOff>
    </xdr:from>
    <xdr:to>
      <xdr:col>5</xdr:col>
      <xdr:colOff>9525</xdr:colOff>
      <xdr:row>18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F33723-E4E6-962A-08CB-60EBCA40584F}"/>
            </a:ext>
            <a:ext uri="{147F2762-F138-4A5C-976F-8EAC2B608ADB}">
              <a16:predDERef xmlns:a16="http://schemas.microsoft.com/office/drawing/2014/main" pred="{4064DA5D-C6F1-DE73-8BF9-4D32C9F25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266700</xdr:colOff>
      <xdr:row>10</xdr:row>
      <xdr:rowOff>0</xdr:rowOff>
    </xdr:from>
    <xdr:to>
      <xdr:col>7</xdr:col>
      <xdr:colOff>971550</xdr:colOff>
      <xdr:row>18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20F230-1D4A-E0D5-03CB-2D3E7E0BB739}"/>
            </a:ext>
            <a:ext uri="{147F2762-F138-4A5C-976F-8EAC2B608ADB}">
              <a16:predDERef xmlns:a16="http://schemas.microsoft.com/office/drawing/2014/main" pred="{B5F33723-E4E6-962A-08CB-60EBCA405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</xdr:row>
      <xdr:rowOff>9525</xdr:rowOff>
    </xdr:from>
    <xdr:to>
      <xdr:col>11</xdr:col>
      <xdr:colOff>19050</xdr:colOff>
      <xdr:row>18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36C98E-FA98-3D49-AA73-F46B5A31110F}"/>
            </a:ext>
            <a:ext uri="{147F2762-F138-4A5C-976F-8EAC2B608ADB}">
              <a16:predDERef xmlns:a16="http://schemas.microsoft.com/office/drawing/2014/main" pred="{4420F230-1D4A-E0D5-03CB-2D3E7E0BB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0</xdr:row>
      <xdr:rowOff>28575</xdr:rowOff>
    </xdr:from>
    <xdr:to>
      <xdr:col>10</xdr:col>
      <xdr:colOff>838200</xdr:colOff>
      <xdr:row>1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CE90FD2B-F058-D28F-CD5F-FACD27360F6B}"/>
                </a:ext>
                <a:ext uri="{147F2762-F138-4A5C-976F-8EAC2B608ADB}">
                  <a16:predDERef xmlns:a16="http://schemas.microsoft.com/office/drawing/2014/main" pred="{5936C98E-FA98-3D49-AA73-F46B5A3111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66925"/>
              <a:ext cx="9239250" cy="438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76200</xdr:colOff>
      <xdr:row>1</xdr:row>
      <xdr:rowOff>161925</xdr:rowOff>
    </xdr:from>
    <xdr:to>
      <xdr:col>3</xdr:col>
      <xdr:colOff>1057275</xdr:colOff>
      <xdr:row>1</xdr:row>
      <xdr:rowOff>466725</xdr:rowOff>
    </xdr:to>
    <xdr:sp macro="" textlink="">
      <xdr:nvSpPr>
        <xdr:cNvPr id="9" name="Rounded Rectangular Callout 8">
          <a:extLst>
            <a:ext uri="{FF2B5EF4-FFF2-40B4-BE49-F238E27FC236}">
              <a16:creationId xmlns:a16="http://schemas.microsoft.com/office/drawing/2014/main" id="{C810EF95-C652-8CD4-7F31-308BAB3B4697}"/>
            </a:ext>
            <a:ext uri="{147F2762-F138-4A5C-976F-8EAC2B608ADB}">
              <a16:predDERef xmlns:a16="http://schemas.microsoft.com/office/drawing/2014/main" pred="{CE90FD2B-F058-D28F-CD5F-FACD27360F6B}"/>
            </a:ext>
          </a:extLst>
        </xdr:cNvPr>
        <xdr:cNvSpPr/>
      </xdr:nvSpPr>
      <xdr:spPr>
        <a:xfrm>
          <a:off x="2390775" y="352425"/>
          <a:ext cx="981075" cy="304800"/>
        </a:xfrm>
        <a:prstGeom prst="wedgeRoundRectCallou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dashborad 2</a:t>
          </a:r>
        </a:p>
      </xdr:txBody>
    </xdr:sp>
    <xdr:clientData/>
  </xdr:twoCellAnchor>
  <xdr:twoCellAnchor>
    <xdr:from>
      <xdr:col>0</xdr:col>
      <xdr:colOff>123825</xdr:colOff>
      <xdr:row>1</xdr:row>
      <xdr:rowOff>171450</xdr:rowOff>
    </xdr:from>
    <xdr:to>
      <xdr:col>0</xdr:col>
      <xdr:colOff>1019175</xdr:colOff>
      <xdr:row>1</xdr:row>
      <xdr:rowOff>476250</xdr:rowOff>
    </xdr:to>
    <xdr:sp macro="" textlink="">
      <xdr:nvSpPr>
        <xdr:cNvPr id="4" name="Rounded Rectangular Callout 3">
          <a:extLst>
            <a:ext uri="{FF2B5EF4-FFF2-40B4-BE49-F238E27FC236}">
              <a16:creationId xmlns:a16="http://schemas.microsoft.com/office/drawing/2014/main" id="{29E5B93A-9543-4E81-8CF4-D6C677B9E076}"/>
            </a:ext>
            <a:ext uri="{147F2762-F138-4A5C-976F-8EAC2B608ADB}">
              <a16:predDERef xmlns:a16="http://schemas.microsoft.com/office/drawing/2014/main" pred="{C810EF95-C652-8CD4-7F31-308BAB3B4697}"/>
            </a:ext>
          </a:extLst>
        </xdr:cNvPr>
        <xdr:cNvSpPr/>
      </xdr:nvSpPr>
      <xdr:spPr>
        <a:xfrm>
          <a:off x="123825" y="361950"/>
          <a:ext cx="895350" cy="304800"/>
        </a:xfrm>
        <a:prstGeom prst="wedgeRoundRectCallou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dashboard 1</a:t>
          </a:r>
        </a:p>
      </xdr:txBody>
    </xdr:sp>
    <xdr:clientData/>
  </xdr:twoCellAnchor>
  <xdr:twoCellAnchor>
    <xdr:from>
      <xdr:col>6</xdr:col>
      <xdr:colOff>19050</xdr:colOff>
      <xdr:row>1</xdr:row>
      <xdr:rowOff>142875</xdr:rowOff>
    </xdr:from>
    <xdr:to>
      <xdr:col>6</xdr:col>
      <xdr:colOff>1009650</xdr:colOff>
      <xdr:row>1</xdr:row>
      <xdr:rowOff>447675</xdr:rowOff>
    </xdr:to>
    <xdr:sp macro="" textlink="">
      <xdr:nvSpPr>
        <xdr:cNvPr id="7" name="Rounded Rectangular Callout 6">
          <a:extLst>
            <a:ext uri="{FF2B5EF4-FFF2-40B4-BE49-F238E27FC236}">
              <a16:creationId xmlns:a16="http://schemas.microsoft.com/office/drawing/2014/main" id="{E74F47D0-9695-4EE7-B7DA-16AA128F0AD8}"/>
            </a:ext>
            <a:ext uri="{147F2762-F138-4A5C-976F-8EAC2B608ADB}">
              <a16:predDERef xmlns:a16="http://schemas.microsoft.com/office/drawing/2014/main" pred="{29E5B93A-9543-4E81-8CF4-D6C677B9E076}"/>
            </a:ext>
          </a:extLst>
        </xdr:cNvPr>
        <xdr:cNvSpPr/>
      </xdr:nvSpPr>
      <xdr:spPr>
        <a:xfrm>
          <a:off x="4562475" y="333375"/>
          <a:ext cx="990600" cy="304800"/>
        </a:xfrm>
        <a:prstGeom prst="wedgeRoundRectCallou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dashborad 3</a:t>
          </a:r>
        </a:p>
      </xdr:txBody>
    </xdr:sp>
    <xdr:clientData/>
  </xdr:twoCellAnchor>
  <xdr:twoCellAnchor>
    <xdr:from>
      <xdr:col>9</xdr:col>
      <xdr:colOff>266700</xdr:colOff>
      <xdr:row>1</xdr:row>
      <xdr:rowOff>142875</xdr:rowOff>
    </xdr:from>
    <xdr:to>
      <xdr:col>9</xdr:col>
      <xdr:colOff>1352550</xdr:colOff>
      <xdr:row>1</xdr:row>
      <xdr:rowOff>447675</xdr:rowOff>
    </xdr:to>
    <xdr:sp macro="" textlink="">
      <xdr:nvSpPr>
        <xdr:cNvPr id="10" name="Rounded Rectangular Callout 9">
          <a:extLst>
            <a:ext uri="{FF2B5EF4-FFF2-40B4-BE49-F238E27FC236}">
              <a16:creationId xmlns:a16="http://schemas.microsoft.com/office/drawing/2014/main" id="{7584E152-356A-456D-A62B-18D729047F78}"/>
            </a:ext>
            <a:ext uri="{147F2762-F138-4A5C-976F-8EAC2B608ADB}">
              <a16:predDERef xmlns:a16="http://schemas.microsoft.com/office/drawing/2014/main" pred="{E74F47D0-9695-4EE7-B7DA-16AA128F0AD8}"/>
            </a:ext>
          </a:extLst>
        </xdr:cNvPr>
        <xdr:cNvSpPr/>
      </xdr:nvSpPr>
      <xdr:spPr>
        <a:xfrm>
          <a:off x="7124700" y="333375"/>
          <a:ext cx="1085850" cy="304800"/>
        </a:xfrm>
        <a:prstGeom prst="wedgeRoundRectCallou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dashborad 4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7.623071643517" createdVersion="8" refreshedVersion="8" minRefreshableVersion="3" recordCount="50" xr:uid="{8DDEC966-6029-49F2-950A-57D088A8E65D}">
  <cacheSource type="worksheet">
    <worksheetSource ref="A1:M51" sheet="raw data"/>
  </cacheSource>
  <cacheFields count="13">
    <cacheField name="OrderID" numFmtId="0">
      <sharedItems/>
    </cacheField>
    <cacheField name="Date" numFmtId="14">
      <sharedItems containsSemiMixedTypes="0" containsNonDate="0" containsDate="1" containsString="0" minDate="2025-01-02T00:00:00" maxDate="2025-03-11T00:00:00"/>
    </cacheField>
    <cacheField name="CustomerId" numFmtId="0">
      <sharedItems count="5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</sharedItems>
    </cacheField>
    <cacheField name="Region" numFmtId="0">
      <sharedItems count="4">
        <s v="North"/>
        <s v="South"/>
        <s v="East"/>
        <s v="West"/>
      </sharedItems>
    </cacheField>
    <cacheField name="Channel" numFmtId="0">
      <sharedItems/>
    </cacheField>
    <cacheField name="Category" numFmtId="0">
      <sharedItems count="3">
        <s v="Electronics"/>
        <s v="Furniture"/>
        <s v="Stationery"/>
      </sharedItems>
    </cacheField>
    <cacheField name="Product" numFmtId="0">
      <sharedItems count="21">
        <s v="Laptop"/>
        <s v="Office Chair"/>
        <s v="Pen Set"/>
        <s v="Smartphone"/>
        <s v="Study Table"/>
        <s v="Headphones"/>
        <s v="Office Desk"/>
        <s v="Marker Set"/>
        <s v="Tablet"/>
        <s v="Bookshelf"/>
        <s v="File Folder"/>
        <s v="Monitor"/>
        <s v="Cabinet"/>
        <s v="Paper Ream"/>
        <s v="Keyboard"/>
        <s v="Sofa Chair"/>
        <s v="Smartwatch"/>
        <s v="Sticky Notes"/>
        <s v="Earbuds"/>
        <s v="Shoe Rack"/>
        <s v="Highlighters"/>
      </sharedItems>
    </cacheField>
    <cacheField name="UnitsSold" numFmtId="0">
      <sharedItems containsSemiMixedTypes="0" containsString="0" containsNumber="1" containsInteger="1" minValue="1" maxValue="30"/>
    </cacheField>
    <cacheField name="UnitPrice" numFmtId="0">
      <sharedItems containsSemiMixedTypes="0" containsString="0" containsNumber="1" containsInteger="1" minValue="50" maxValue="55000"/>
    </cacheField>
    <cacheField name="Discount%" numFmtId="0">
      <sharedItems containsSemiMixedTypes="0" containsString="0" containsNumber="1" containsInteger="1" minValue="0" maxValue="15"/>
    </cacheField>
    <cacheField name="CostPerUnit" numFmtId="0">
      <sharedItems containsSemiMixedTypes="0" containsString="0" containsNumber="1" containsInteger="1" minValue="25" maxValue="47000"/>
    </cacheField>
    <cacheField name="OrderStatus" numFmtId="0">
      <sharedItems/>
    </cacheField>
    <cacheField name="ShippingCost" numFmtId="0">
      <sharedItems containsSemiMixedTypes="0" containsString="0" containsNumber="1" containsInteger="1" minValue="0" maxValue="250"/>
    </cacheField>
  </cacheFields>
  <extLst>
    <ext xmlns:x14="http://schemas.microsoft.com/office/spreadsheetml/2009/9/main" uri="{725AE2AE-9491-48be-B2B4-4EB974FC3084}">
      <x14:pivotCacheDefinition pivotCacheId="16288500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RD001"/>
    <d v="2025-01-02T00:00:00"/>
    <x v="0"/>
    <x v="0"/>
    <s v="Online"/>
    <x v="0"/>
    <x v="0"/>
    <n v="3"/>
    <n v="55000"/>
    <n v="5"/>
    <n v="47000"/>
    <s v="Completed"/>
    <n v="250"/>
  </r>
  <r>
    <s v="ORD002"/>
    <d v="2025-01-03T00:00:00"/>
    <x v="1"/>
    <x v="1"/>
    <s v="Store"/>
    <x v="1"/>
    <x v="1"/>
    <n v="4"/>
    <n v="4500"/>
    <n v="0"/>
    <n v="3000"/>
    <s v="Completed"/>
    <n v="0"/>
  </r>
  <r>
    <s v="ORD003"/>
    <d v="2025-01-04T00:00:00"/>
    <x v="2"/>
    <x v="2"/>
    <s v="Online"/>
    <x v="2"/>
    <x v="2"/>
    <n v="20"/>
    <n v="80"/>
    <n v="10"/>
    <n v="40"/>
    <s v="Completed"/>
    <n v="50"/>
  </r>
  <r>
    <s v="ORD004"/>
    <d v="2025-01-05T00:00:00"/>
    <x v="3"/>
    <x v="3"/>
    <s v="Store"/>
    <x v="0"/>
    <x v="3"/>
    <n v="2"/>
    <n v="30000"/>
    <n v="8"/>
    <n v="22000"/>
    <s v="Completed"/>
    <n v="0"/>
  </r>
  <r>
    <s v="ORD005"/>
    <d v="2025-01-06T00:00:00"/>
    <x v="4"/>
    <x v="0"/>
    <s v="Online"/>
    <x v="1"/>
    <x v="4"/>
    <n v="1"/>
    <n v="7000"/>
    <n v="0"/>
    <n v="5000"/>
    <s v="Completed"/>
    <n v="200"/>
  </r>
  <r>
    <s v="ORD006"/>
    <d v="2025-01-07T00:00:00"/>
    <x v="5"/>
    <x v="1"/>
    <s v="Online"/>
    <x v="0"/>
    <x v="5"/>
    <n v="5"/>
    <n v="2500"/>
    <n v="5"/>
    <n v="1800"/>
    <s v="Completed"/>
    <n v="80"/>
  </r>
  <r>
    <s v="ORD007"/>
    <d v="2025-01-08T00:00:00"/>
    <x v="6"/>
    <x v="2"/>
    <s v="Store"/>
    <x v="1"/>
    <x v="6"/>
    <n v="2"/>
    <n v="9000"/>
    <n v="0"/>
    <n v="6500"/>
    <s v="Completed"/>
    <n v="0"/>
  </r>
  <r>
    <s v="ORD008"/>
    <d v="2025-01-10T00:00:00"/>
    <x v="7"/>
    <x v="3"/>
    <s v="Online"/>
    <x v="2"/>
    <x v="7"/>
    <n v="15"/>
    <n v="100"/>
    <n v="15"/>
    <n v="40"/>
    <s v="Completed"/>
    <n v="40"/>
  </r>
  <r>
    <s v="ORD009"/>
    <d v="2025-01-11T00:00:00"/>
    <x v="8"/>
    <x v="0"/>
    <s v="Store"/>
    <x v="0"/>
    <x v="8"/>
    <n v="1"/>
    <n v="18000"/>
    <n v="5"/>
    <n v="13000"/>
    <s v="Returned"/>
    <n v="0"/>
  </r>
  <r>
    <s v="ORD010"/>
    <d v="2025-01-12T00:00:00"/>
    <x v="9"/>
    <x v="1"/>
    <s v="Online"/>
    <x v="1"/>
    <x v="9"/>
    <n v="1"/>
    <n v="8000"/>
    <n v="0"/>
    <n v="6000"/>
    <s v="Completed"/>
    <n v="150"/>
  </r>
  <r>
    <s v="ORD011"/>
    <d v="2025-01-13T00:00:00"/>
    <x v="10"/>
    <x v="2"/>
    <s v="Online"/>
    <x v="2"/>
    <x v="10"/>
    <n v="12"/>
    <n v="150"/>
    <n v="10"/>
    <n v="70"/>
    <s v="Completed"/>
    <n v="60"/>
  </r>
  <r>
    <s v="ORD012"/>
    <d v="2025-01-14T00:00:00"/>
    <x v="11"/>
    <x v="3"/>
    <s v="Store"/>
    <x v="0"/>
    <x v="11"/>
    <n v="2"/>
    <n v="12000"/>
    <n v="0"/>
    <n v="9000"/>
    <s v="Completed"/>
    <n v="0"/>
  </r>
  <r>
    <s v="ORD013"/>
    <d v="2025-01-15T00:00:00"/>
    <x v="12"/>
    <x v="0"/>
    <s v="Online"/>
    <x v="1"/>
    <x v="12"/>
    <n v="1"/>
    <n v="15000"/>
    <n v="5"/>
    <n v="11000"/>
    <s v="Completed"/>
    <n v="200"/>
  </r>
  <r>
    <s v="ORD014"/>
    <d v="2025-01-17T00:00:00"/>
    <x v="13"/>
    <x v="1"/>
    <s v="Store"/>
    <x v="2"/>
    <x v="13"/>
    <n v="25"/>
    <n v="250"/>
    <n v="10"/>
    <n v="120"/>
    <s v="Completed"/>
    <n v="0"/>
  </r>
  <r>
    <s v="ORD015"/>
    <d v="2025-01-18T00:00:00"/>
    <x v="14"/>
    <x v="2"/>
    <s v="Online"/>
    <x v="0"/>
    <x v="14"/>
    <n v="6"/>
    <n v="1500"/>
    <n v="0"/>
    <n v="900"/>
    <s v="Completed"/>
    <n v="70"/>
  </r>
  <r>
    <s v="ORD016"/>
    <d v="2025-01-20T00:00:00"/>
    <x v="15"/>
    <x v="3"/>
    <s v="Online"/>
    <x v="1"/>
    <x v="15"/>
    <n v="1"/>
    <n v="12000"/>
    <n v="5"/>
    <n v="8000"/>
    <s v="Completed"/>
    <n v="250"/>
  </r>
  <r>
    <s v="ORD017"/>
    <d v="2025-01-21T00:00:00"/>
    <x v="16"/>
    <x v="0"/>
    <s v="Store"/>
    <x v="0"/>
    <x v="16"/>
    <n v="3"/>
    <n v="9000"/>
    <n v="0"/>
    <n v="6500"/>
    <s v="Completed"/>
    <n v="0"/>
  </r>
  <r>
    <s v="ORD018"/>
    <d v="2025-01-22T00:00:00"/>
    <x v="17"/>
    <x v="1"/>
    <s v="Online"/>
    <x v="2"/>
    <x v="17"/>
    <n v="30"/>
    <n v="60"/>
    <n v="10"/>
    <n v="30"/>
    <s v="Completed"/>
    <n v="30"/>
  </r>
  <r>
    <s v="ORD019"/>
    <d v="2025-01-23T00:00:00"/>
    <x v="18"/>
    <x v="2"/>
    <s v="Store"/>
    <x v="0"/>
    <x v="18"/>
    <n v="4"/>
    <n v="3500"/>
    <n v="5"/>
    <n v="2500"/>
    <s v="Returned"/>
    <n v="0"/>
  </r>
  <r>
    <s v="ORD020"/>
    <d v="2025-01-25T00:00:00"/>
    <x v="19"/>
    <x v="3"/>
    <s v="Online"/>
    <x v="1"/>
    <x v="19"/>
    <n v="1"/>
    <n v="6000"/>
    <n v="0"/>
    <n v="4200"/>
    <s v="Completed"/>
    <n v="150"/>
  </r>
  <r>
    <s v="ORD021"/>
    <d v="2025-02-01T00:00:00"/>
    <x v="20"/>
    <x v="0"/>
    <s v="Store"/>
    <x v="0"/>
    <x v="0"/>
    <n v="2"/>
    <n v="52000"/>
    <n v="5"/>
    <n v="45000"/>
    <s v="Completed"/>
    <n v="0"/>
  </r>
  <r>
    <s v="ORD022"/>
    <d v="2025-02-02T00:00:00"/>
    <x v="21"/>
    <x v="1"/>
    <s v="Online"/>
    <x v="2"/>
    <x v="20"/>
    <n v="18"/>
    <n v="120"/>
    <n v="10"/>
    <n v="60"/>
    <s v="Completed"/>
    <n v="40"/>
  </r>
  <r>
    <s v="ORD023"/>
    <d v="2025-02-03T00:00:00"/>
    <x v="22"/>
    <x v="2"/>
    <s v="Store"/>
    <x v="1"/>
    <x v="4"/>
    <n v="1"/>
    <n v="7200"/>
    <n v="0"/>
    <n v="5200"/>
    <s v="Completed"/>
    <n v="0"/>
  </r>
  <r>
    <s v="ORD024"/>
    <d v="2025-02-04T00:00:00"/>
    <x v="23"/>
    <x v="3"/>
    <s v="Online"/>
    <x v="0"/>
    <x v="3"/>
    <n v="1"/>
    <n v="31000"/>
    <n v="5"/>
    <n v="23000"/>
    <s v="Completed"/>
    <n v="100"/>
  </r>
  <r>
    <s v="ORD025"/>
    <d v="2025-02-05T00:00:00"/>
    <x v="24"/>
    <x v="0"/>
    <s v="Online"/>
    <x v="1"/>
    <x v="6"/>
    <n v="1"/>
    <n v="9500"/>
    <n v="0"/>
    <n v="6800"/>
    <s v="Completed"/>
    <n v="200"/>
  </r>
  <r>
    <s v="ORD026"/>
    <d v="2025-02-06T00:00:00"/>
    <x v="25"/>
    <x v="1"/>
    <s v="Store"/>
    <x v="2"/>
    <x v="2"/>
    <n v="10"/>
    <n v="90"/>
    <n v="5"/>
    <n v="50"/>
    <s v="Completed"/>
    <n v="0"/>
  </r>
  <r>
    <s v="ORD027"/>
    <d v="2025-02-07T00:00:00"/>
    <x v="26"/>
    <x v="2"/>
    <s v="Online"/>
    <x v="0"/>
    <x v="5"/>
    <n v="3"/>
    <n v="2600"/>
    <n v="5"/>
    <n v="1800"/>
    <s v="Completed"/>
    <n v="60"/>
  </r>
  <r>
    <s v="ORD028"/>
    <d v="2025-02-08T00:00:00"/>
    <x v="27"/>
    <x v="3"/>
    <s v="Store"/>
    <x v="1"/>
    <x v="9"/>
    <n v="1"/>
    <n v="8200"/>
    <n v="0"/>
    <n v="6000"/>
    <s v="Completed"/>
    <n v="0"/>
  </r>
  <r>
    <s v="ORD029"/>
    <d v="2025-02-10T00:00:00"/>
    <x v="28"/>
    <x v="0"/>
    <s v="Online"/>
    <x v="0"/>
    <x v="11"/>
    <n v="1"/>
    <n v="12500"/>
    <n v="0"/>
    <n v="9000"/>
    <s v="Completed"/>
    <n v="150"/>
  </r>
  <r>
    <s v="ORD030"/>
    <d v="2025-02-12T00:00:00"/>
    <x v="29"/>
    <x v="1"/>
    <s v="Online"/>
    <x v="2"/>
    <x v="10"/>
    <n v="10"/>
    <n v="160"/>
    <n v="10"/>
    <n v="70"/>
    <s v="Completed"/>
    <n v="40"/>
  </r>
  <r>
    <s v="ORD031"/>
    <d v="2025-02-13T00:00:00"/>
    <x v="30"/>
    <x v="2"/>
    <s v="Store"/>
    <x v="1"/>
    <x v="12"/>
    <n v="1"/>
    <n v="15500"/>
    <n v="5"/>
    <n v="11500"/>
    <s v="Completed"/>
    <n v="0"/>
  </r>
  <r>
    <s v="ORD032"/>
    <d v="2025-02-14T00:00:00"/>
    <x v="31"/>
    <x v="3"/>
    <s v="Online"/>
    <x v="0"/>
    <x v="14"/>
    <n v="4"/>
    <n v="1400"/>
    <n v="0"/>
    <n v="900"/>
    <s v="Completed"/>
    <n v="80"/>
  </r>
  <r>
    <s v="ORD033"/>
    <d v="2025-02-15T00:00:00"/>
    <x v="32"/>
    <x v="0"/>
    <s v="Store"/>
    <x v="2"/>
    <x v="13"/>
    <n v="20"/>
    <n v="260"/>
    <n v="10"/>
    <n v="130"/>
    <s v="Completed"/>
    <n v="0"/>
  </r>
  <r>
    <s v="ORD034"/>
    <d v="2025-02-16T00:00:00"/>
    <x v="33"/>
    <x v="1"/>
    <s v="Online"/>
    <x v="0"/>
    <x v="0"/>
    <n v="1"/>
    <n v="54000"/>
    <n v="5"/>
    <n v="46000"/>
    <s v="Completed"/>
    <n v="200"/>
  </r>
  <r>
    <s v="ORD035"/>
    <d v="2025-02-18T00:00:00"/>
    <x v="34"/>
    <x v="2"/>
    <s v="Store"/>
    <x v="1"/>
    <x v="15"/>
    <n v="1"/>
    <n v="11800"/>
    <n v="0"/>
    <n v="8000"/>
    <s v="Completed"/>
    <n v="0"/>
  </r>
  <r>
    <s v="ORD036"/>
    <d v="2025-02-19T00:00:00"/>
    <x v="35"/>
    <x v="3"/>
    <s v="Online"/>
    <x v="2"/>
    <x v="17"/>
    <n v="22"/>
    <n v="50"/>
    <n v="10"/>
    <n v="25"/>
    <s v="Completed"/>
    <n v="30"/>
  </r>
  <r>
    <s v="ORD037"/>
    <d v="2025-02-20T00:00:00"/>
    <x v="36"/>
    <x v="0"/>
    <s v="Store"/>
    <x v="0"/>
    <x v="16"/>
    <n v="2"/>
    <n v="9500"/>
    <n v="5"/>
    <n v="6700"/>
    <s v="Completed"/>
    <n v="0"/>
  </r>
  <r>
    <s v="ORD038"/>
    <d v="2025-02-21T00:00:00"/>
    <x v="37"/>
    <x v="1"/>
    <s v="Online"/>
    <x v="0"/>
    <x v="18"/>
    <n v="3"/>
    <n v="3600"/>
    <n v="5"/>
    <n v="2600"/>
    <s v="Completed"/>
    <n v="50"/>
  </r>
  <r>
    <s v="ORD039"/>
    <d v="2025-02-22T00:00:00"/>
    <x v="38"/>
    <x v="2"/>
    <s v="Online"/>
    <x v="1"/>
    <x v="1"/>
    <n v="2"/>
    <n v="4700"/>
    <n v="0"/>
    <n v="3100"/>
    <s v="Completed"/>
    <n v="120"/>
  </r>
  <r>
    <s v="ORD040"/>
    <d v="2025-02-24T00:00:00"/>
    <x v="39"/>
    <x v="3"/>
    <s v="Store"/>
    <x v="0"/>
    <x v="8"/>
    <n v="1"/>
    <n v="18500"/>
    <n v="5"/>
    <n v="13000"/>
    <s v="Completed"/>
    <n v="0"/>
  </r>
  <r>
    <s v="ORD041"/>
    <d v="2025-03-01T00:00:00"/>
    <x v="40"/>
    <x v="0"/>
    <s v="Online"/>
    <x v="1"/>
    <x v="19"/>
    <n v="1"/>
    <n v="6200"/>
    <n v="0"/>
    <n v="4200"/>
    <s v="Completed"/>
    <n v="150"/>
  </r>
  <r>
    <s v="ORD042"/>
    <d v="2025-03-02T00:00:00"/>
    <x v="41"/>
    <x v="1"/>
    <s v="Store"/>
    <x v="2"/>
    <x v="20"/>
    <n v="14"/>
    <n v="130"/>
    <n v="10"/>
    <n v="60"/>
    <s v="Completed"/>
    <n v="0"/>
  </r>
  <r>
    <s v="ORD043"/>
    <d v="2025-03-03T00:00:00"/>
    <x v="42"/>
    <x v="2"/>
    <s v="Online"/>
    <x v="0"/>
    <x v="3"/>
    <n v="1"/>
    <n v="32000"/>
    <n v="5"/>
    <n v="23000"/>
    <s v="Completed"/>
    <n v="100"/>
  </r>
  <r>
    <s v="ORD044"/>
    <d v="2025-03-04T00:00:00"/>
    <x v="43"/>
    <x v="3"/>
    <s v="Store"/>
    <x v="1"/>
    <x v="4"/>
    <n v="1"/>
    <n v="7100"/>
    <n v="0"/>
    <n v="5200"/>
    <s v="Completed"/>
    <n v="0"/>
  </r>
  <r>
    <s v="ORD045"/>
    <d v="2025-03-05T00:00:00"/>
    <x v="44"/>
    <x v="0"/>
    <s v="Online"/>
    <x v="0"/>
    <x v="11"/>
    <n v="2"/>
    <n v="13000"/>
    <n v="0"/>
    <n v="9000"/>
    <s v="Completed"/>
    <n v="200"/>
  </r>
  <r>
    <s v="ORD046"/>
    <d v="2025-03-06T00:00:00"/>
    <x v="45"/>
    <x v="1"/>
    <s v="Online"/>
    <x v="2"/>
    <x v="2"/>
    <n v="15"/>
    <n v="85"/>
    <n v="5"/>
    <n v="45"/>
    <s v="Completed"/>
    <n v="40"/>
  </r>
  <r>
    <s v="ORD047"/>
    <d v="2025-03-07T00:00:00"/>
    <x v="46"/>
    <x v="2"/>
    <s v="Store"/>
    <x v="0"/>
    <x v="14"/>
    <n v="3"/>
    <n v="1600"/>
    <n v="0"/>
    <n v="900"/>
    <s v="Completed"/>
    <n v="0"/>
  </r>
  <r>
    <s v="ORD048"/>
    <d v="2025-03-08T00:00:00"/>
    <x v="47"/>
    <x v="3"/>
    <s v="Online"/>
    <x v="1"/>
    <x v="9"/>
    <n v="1"/>
    <n v="8400"/>
    <n v="0"/>
    <n v="6000"/>
    <s v="Completed"/>
    <n v="180"/>
  </r>
  <r>
    <s v="ORD049"/>
    <d v="2025-03-09T00:00:00"/>
    <x v="48"/>
    <x v="0"/>
    <s v="Store"/>
    <x v="0"/>
    <x v="16"/>
    <n v="1"/>
    <n v="9300"/>
    <n v="5"/>
    <n v="6700"/>
    <s v="Returned"/>
    <n v="0"/>
  </r>
  <r>
    <s v="ORD050"/>
    <d v="2025-03-10T00:00:00"/>
    <x v="49"/>
    <x v="1"/>
    <s v="Online"/>
    <x v="2"/>
    <x v="13"/>
    <n v="30"/>
    <n v="240"/>
    <n v="10"/>
    <n v="120"/>
    <s v="Completed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2A533-C761-4C73-A3D2-73FC92BE5A00}" name="PivotTable5" cacheId="371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 chartFormat="1">
  <location ref="D3:E7" firstHeaderRow="1" firstDataRow="1" firstDataCol="1"/>
  <pivotFields count="13">
    <pivotField compact="0" outline="0" showAll="0"/>
    <pivotField compact="0" numFmtId="14" outline="0" showAll="0"/>
    <pivotField axis="axisRow" compact="0" outline="0" showAll="0" measureFilter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outline="0" showAll="0">
      <items count="5">
        <item h="1" x="2"/>
        <item h="1" x="0"/>
        <item x="1"/>
        <item h="1" x="3"/>
        <item t="default"/>
      </items>
    </pivotField>
    <pivotField compact="0" outline="0" showAll="0"/>
    <pivotField compact="0" outline="0" showAll="0"/>
    <pivotField compact="0" outline="0" showAll="0">
      <items count="22">
        <item h="1" x="9"/>
        <item h="1" x="12"/>
        <item h="1" x="18"/>
        <item h="1" x="10"/>
        <item h="1" x="5"/>
        <item h="1" x="20"/>
        <item h="1" x="14"/>
        <item h="1" x="0"/>
        <item h="1" x="7"/>
        <item h="1" x="11"/>
        <item h="1" x="1"/>
        <item h="1" x="6"/>
        <item h="1" x="13"/>
        <item x="2"/>
        <item h="1" x="19"/>
        <item h="1" x="3"/>
        <item h="1" x="16"/>
        <item h="1" x="15"/>
        <item h="1" x="17"/>
        <item h="1" x="4"/>
        <item h="1" x="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 v="25"/>
    </i>
    <i>
      <x v="29"/>
    </i>
    <i>
      <x v="41"/>
    </i>
    <i>
      <x v="45"/>
    </i>
  </rowItems>
  <colItems count="1">
    <i/>
  </colItems>
  <dataFields count="1">
    <dataField name=" UnitsSold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0" showRowHeaders="1" showColHeaders="1" showRowStripes="0" showColStripes="0" showLastColumn="1"/>
  <filters count="1">
    <filter fld="2" type="valueBetween" evalOrder="-1" id="8" iMeasureFld="0">
      <autoFilter ref="A1">
        <filterColumn colId="0">
          <customFilters and="1">
            <customFilter operator="greaterThanOrEqual" val="10"/>
            <customFilter operator="lessThanOrEqual" val="1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A970F-7C42-438C-A374-3E51585D823F}" name="PivotTable3" cacheId="371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 chartFormat="1">
  <location ref="A3:B8" firstHeaderRow="1" firstDataRow="1" firstDataCol="1"/>
  <pivotFields count="13">
    <pivotField compact="0" outline="0" showAll="0"/>
    <pivotField compact="0" numFmtId="14" outline="0" showAll="0"/>
    <pivotField axis="axisRow" compact="0" outline="0" showAll="0" measureFilter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outline="0" showAll="0">
      <items count="5">
        <item h="1" x="2"/>
        <item h="1" x="0"/>
        <item x="1"/>
        <item h="1" x="3"/>
        <item t="default"/>
      </items>
    </pivotField>
    <pivotField compact="0" outline="0" showAll="0"/>
    <pivotField compact="0" outline="0" showAll="0">
      <items count="4">
        <item h="1" x="0"/>
        <item h="1"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 v="13"/>
    </i>
    <i>
      <x v="17"/>
    </i>
    <i>
      <x v="21"/>
    </i>
    <i>
      <x v="45"/>
    </i>
    <i>
      <x v="49"/>
    </i>
  </rowItems>
  <colItems count="1">
    <i/>
  </colItems>
  <dataFields count="1">
    <dataField name=" UnitsSold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filters count="1">
    <filter fld="2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52C34-A999-4A68-BA1E-A4726DAAB516}" name="PivotTable7" cacheId="371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 chartFormat="1">
  <location ref="J3:K9" firstHeaderRow="1" firstDataRow="1" firstDataCol="1"/>
  <pivotFields count="13">
    <pivotField compact="0" outline="0" showAll="0"/>
    <pivotField compact="0" numFmtId="14" outline="0" showAll="0"/>
    <pivotField axis="axisRow" compact="0" outline="0" showAll="0" measureFilter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outline="0" showAll="0">
      <items count="5">
        <item h="1" x="2"/>
        <item h="1" x="0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 v="17"/>
    </i>
    <i>
      <x v="21"/>
    </i>
    <i>
      <x v="25"/>
    </i>
    <i>
      <x v="29"/>
    </i>
    <i>
      <x v="41"/>
    </i>
    <i>
      <x v="45"/>
    </i>
  </rowItems>
  <colItems count="1">
    <i/>
  </colItems>
  <dataFields count="1">
    <dataField name="      Pric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filters count="1">
    <filter fld="2" type="count" evalOrder="-1" id="7" iMeasureFld="0">
      <autoFilter ref="A1">
        <filterColumn colId="0">
          <top10 top="0"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E455E-9BC3-4A44-A040-EB69ED5F76B4}" name="PivotTable6" cacheId="371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 chartFormat="2">
  <location ref="G3:H9" firstHeaderRow="1" firstDataRow="1" firstDataCol="1"/>
  <pivotFields count="13">
    <pivotField compact="0" outline="0" showAll="0"/>
    <pivotField compact="0" numFmtId="14" outline="0" showAll="0"/>
    <pivotField axis="axisRow" compact="0" outline="0" showAll="0" measureFilter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outline="0" showAll="0">
      <items count="5">
        <item h="1" x="2"/>
        <item h="1" x="0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 v="1"/>
    </i>
    <i>
      <x v="5"/>
    </i>
    <i>
      <x v="9"/>
    </i>
    <i>
      <x v="13"/>
    </i>
    <i>
      <x v="33"/>
    </i>
    <i>
      <x v="37"/>
    </i>
  </rowItems>
  <colItems count="1">
    <i/>
  </colItems>
  <dataFields count="1">
    <dataField name="        Price" fld="8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</chartFormats>
  <pivotTableStyleInfo name="PivotStyleDark5" showRowHeaders="1" showColHeaders="1" showRowStripes="0" showColStripes="0" showLastColumn="1"/>
  <filters count="1">
    <filter fld="2" type="count" evalOrder="-1" id="6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F7B742E-694B-4AE2-A377-3FDAF789A082}" sourceName="Region">
  <pivotTables>
    <pivotTable tabId="2" name="PivotTable7"/>
    <pivotTable tabId="2" name="PivotTable5"/>
    <pivotTable tabId="2" name="PivotTable3"/>
    <pivotTable tabId="2" name="PivotTable6"/>
  </pivotTables>
  <data>
    <tabular pivotCacheId="1628850017">
      <items count="4">
        <i x="2"/>
        <i x="0"/>
        <i x="1" s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10C3B0B6-3DD7-4E3A-84F3-ECD206BF6C15}" cache="Slicer_Region" caption="Region" columnCount="4" showCaption="0" style="SlicerStyleOther2" rowHeight="2762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AB6404-12E2-4433-A211-F5847EDD0295}" name="Table3" displayName="Table3" ref="A3:M4" totalsRowShown="0">
  <autoFilter ref="A3:M4" xr:uid="{95AB6404-12E2-4433-A211-F5847EDD0295}"/>
  <tableColumns count="13">
    <tableColumn id="1" xr3:uid="{7FB8A09A-B938-41B7-99C5-968126ADAF1A}" name="OrderID"/>
    <tableColumn id="2" xr3:uid="{A5489CBA-D982-443F-B457-AC421FA3F042}" name="Date" dataDxfId="1"/>
    <tableColumn id="3" xr3:uid="{F68E3E34-DD98-4BCA-B573-16D8BFA9485E}" name="CustomerId"/>
    <tableColumn id="4" xr3:uid="{D2C63633-69F4-4F2F-9DEB-080074B0CBEA}" name="Region"/>
    <tableColumn id="5" xr3:uid="{6093EF71-BF3B-4248-8970-968042145F5E}" name="Channel"/>
    <tableColumn id="6" xr3:uid="{71BE545C-FB08-40E0-8617-E8B9B92BDB88}" name="Category"/>
    <tableColumn id="7" xr3:uid="{28DCB095-FEAA-4756-8A85-FEF678CE6913}" name="Product"/>
    <tableColumn id="8" xr3:uid="{A2982AC6-9698-43DC-93C9-2C88EA0BB365}" name="UnitsSold"/>
    <tableColumn id="9" xr3:uid="{88EF7FCF-55FA-4F44-95C8-5E4FC3851457}" name="UnitPrice"/>
    <tableColumn id="10" xr3:uid="{46839200-83A7-4A4A-BA67-F850A843DC7A}" name="Discount%"/>
    <tableColumn id="11" xr3:uid="{45FCA370-A954-4D23-9BD8-E740A8B4DE11}" name="CostPerUnit"/>
    <tableColumn id="12" xr3:uid="{4E4D4686-9EAA-42FC-A986-35F89A229EC1}" name="OrderStatus"/>
    <tableColumn id="13" xr3:uid="{9902AB95-89AE-4573-92F9-239A5E027266}" name="Shipping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C38D55-6565-408F-999A-A3AD2319756B}" name="Table4" displayName="Table4" ref="A3:M4" totalsRowShown="0">
  <autoFilter ref="A3:M4" xr:uid="{05C38D55-6565-408F-999A-A3AD2319756B}"/>
  <tableColumns count="13">
    <tableColumn id="1" xr3:uid="{F35DD723-DDA1-49B3-9213-9E2461B8ABD6}" name="OrderID"/>
    <tableColumn id="2" xr3:uid="{4BEE66AB-CB21-4C77-9377-D57B6A4993FF}" name="Date" dataDxfId="0"/>
    <tableColumn id="3" xr3:uid="{7A6F5632-2EB0-4360-8C17-511443631B8A}" name="CustomerId"/>
    <tableColumn id="4" xr3:uid="{3CF55619-ACFF-4E7B-9193-A20D42CBCA19}" name="Region"/>
    <tableColumn id="5" xr3:uid="{3E83005B-497F-4261-A6D0-CA237E77EADA}" name="Channel"/>
    <tableColumn id="6" xr3:uid="{319AE4AC-F730-451E-B6AB-4D6F8FAC6675}" name="Category"/>
    <tableColumn id="7" xr3:uid="{E195B208-7125-4BEA-89B9-956A1C02FCCB}" name="Product"/>
    <tableColumn id="8" xr3:uid="{3E7AE05E-1749-4060-AD4D-30B30424D84A}" name="UnitsSold"/>
    <tableColumn id="9" xr3:uid="{13982687-8606-421E-BBBD-0C98DF388662}" name="UnitPrice"/>
    <tableColumn id="10" xr3:uid="{97069B16-35F8-4013-B64A-58E29A980F1E}" name="Discount%"/>
    <tableColumn id="11" xr3:uid="{8487C7FA-6323-45E7-BC63-3180C57652EF}" name="CostPerUnit"/>
    <tableColumn id="12" xr3:uid="{245162AB-1371-4538-83B1-E291A01ABF67}" name="OrderStatus"/>
    <tableColumn id="13" xr3:uid="{EB6F799A-D50A-4A54-951C-60369B28A177}" name="Shipping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7DF3-1C67-49CA-BA16-1E44621FF2A1}">
  <dimension ref="A1:M4"/>
  <sheetViews>
    <sheetView workbookViewId="0"/>
  </sheetViews>
  <sheetFormatPr defaultRowHeight="15"/>
  <cols>
    <col min="1" max="1" width="10.140625" bestFit="1" customWidth="1"/>
    <col min="3" max="3" width="13.7109375" bestFit="1" customWidth="1"/>
    <col min="5" max="5" width="10.5703125" bestFit="1" customWidth="1"/>
    <col min="6" max="6" width="11.140625" bestFit="1" customWidth="1"/>
    <col min="7" max="7" width="10.140625" bestFit="1" customWidth="1"/>
    <col min="8" max="8" width="11.7109375" bestFit="1" customWidth="1"/>
    <col min="9" max="9" width="11.42578125" bestFit="1" customWidth="1"/>
    <col min="10" max="10" width="12.7109375" bestFit="1" customWidth="1"/>
    <col min="11" max="12" width="13.85546875" bestFit="1" customWidth="1"/>
    <col min="13" max="13" width="15" bestFit="1" customWidth="1"/>
  </cols>
  <sheetData>
    <row r="1" spans="1:13">
      <c r="A1" s="1" t="s">
        <v>0</v>
      </c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s">
        <v>14</v>
      </c>
      <c r="B4" s="2">
        <v>45661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>
        <v>20</v>
      </c>
      <c r="I4">
        <v>80</v>
      </c>
      <c r="J4">
        <v>10</v>
      </c>
      <c r="K4">
        <v>40</v>
      </c>
      <c r="L4" t="s">
        <v>20</v>
      </c>
      <c r="M4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141B-35C2-4775-9BA1-A69057A1EF76}">
  <dimension ref="A1:M4"/>
  <sheetViews>
    <sheetView workbookViewId="0"/>
  </sheetViews>
  <sheetFormatPr defaultRowHeight="15"/>
  <cols>
    <col min="1" max="1" width="10.140625" bestFit="1" customWidth="1"/>
    <col min="2" max="2" width="9.85546875" bestFit="1" customWidth="1"/>
    <col min="3" max="3" width="13.7109375" bestFit="1" customWidth="1"/>
    <col min="5" max="5" width="10.5703125" bestFit="1" customWidth="1"/>
    <col min="6" max="7" width="11.140625" bestFit="1" customWidth="1"/>
    <col min="8" max="8" width="11.7109375" bestFit="1" customWidth="1"/>
    <col min="9" max="9" width="11.42578125" bestFit="1" customWidth="1"/>
    <col min="10" max="10" width="12.7109375" bestFit="1" customWidth="1"/>
    <col min="11" max="12" width="13.85546875" bestFit="1" customWidth="1"/>
    <col min="13" max="13" width="15" bestFit="1" customWidth="1"/>
  </cols>
  <sheetData>
    <row r="1" spans="1:13">
      <c r="A1" s="1" t="s">
        <v>21</v>
      </c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s">
        <v>22</v>
      </c>
      <c r="B4" s="2">
        <v>45674</v>
      </c>
      <c r="C4" t="s">
        <v>23</v>
      </c>
      <c r="D4" t="s">
        <v>24</v>
      </c>
      <c r="E4" t="s">
        <v>25</v>
      </c>
      <c r="F4" t="s">
        <v>18</v>
      </c>
      <c r="G4" t="s">
        <v>26</v>
      </c>
      <c r="H4">
        <v>25</v>
      </c>
      <c r="I4">
        <v>250</v>
      </c>
      <c r="J4">
        <v>10</v>
      </c>
      <c r="K4">
        <v>120</v>
      </c>
      <c r="L4" t="s">
        <v>20</v>
      </c>
      <c r="M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88D4-27C8-4146-936A-B2FD4F983F16}">
  <dimension ref="A1:L19"/>
  <sheetViews>
    <sheetView tabSelected="1" workbookViewId="0">
      <selection activeCell="N8" sqref="N8"/>
    </sheetView>
  </sheetViews>
  <sheetFormatPr defaultRowHeight="15"/>
  <cols>
    <col min="1" max="1" width="18" customWidth="1"/>
    <col min="2" max="2" width="12.5703125" customWidth="1"/>
    <col min="3" max="3" width="4.140625" customWidth="1"/>
    <col min="4" max="4" width="16.28515625" customWidth="1"/>
    <col min="5" max="5" width="12.7109375" customWidth="1"/>
    <col min="6" max="6" width="4.42578125" customWidth="1"/>
    <col min="7" max="7" width="15.85546875" customWidth="1"/>
    <col min="8" max="8" width="14.7109375" customWidth="1"/>
    <col min="9" max="9" width="4.140625" customWidth="1"/>
    <col min="10" max="10" width="23.140625" customWidth="1"/>
    <col min="11" max="11" width="13.140625" customWidth="1"/>
  </cols>
  <sheetData>
    <row r="1" spans="1:12" ht="27.75" customHeight="1"/>
    <row r="2" spans="1:12" ht="44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>
      <c r="A3" s="3" t="s">
        <v>3</v>
      </c>
      <c r="B3" t="s">
        <v>27</v>
      </c>
      <c r="C3" s="5"/>
      <c r="D3" s="3" t="s">
        <v>3</v>
      </c>
      <c r="E3" t="s">
        <v>27</v>
      </c>
      <c r="F3" s="5"/>
      <c r="G3" s="3" t="s">
        <v>3</v>
      </c>
      <c r="H3" t="s">
        <v>28</v>
      </c>
      <c r="I3" s="5"/>
      <c r="J3" s="3" t="s">
        <v>3</v>
      </c>
      <c r="K3" t="s">
        <v>29</v>
      </c>
    </row>
    <row r="4" spans="1:12">
      <c r="A4" t="s">
        <v>23</v>
      </c>
      <c r="B4" s="4">
        <v>25</v>
      </c>
      <c r="C4" s="5"/>
      <c r="D4" t="s">
        <v>30</v>
      </c>
      <c r="E4" s="4">
        <v>10</v>
      </c>
      <c r="F4" s="6"/>
      <c r="G4" t="s">
        <v>31</v>
      </c>
      <c r="H4" s="4">
        <v>4500</v>
      </c>
      <c r="I4" s="5"/>
      <c r="J4" t="s">
        <v>32</v>
      </c>
      <c r="K4" s="4">
        <v>60</v>
      </c>
    </row>
    <row r="5" spans="1:12">
      <c r="A5" t="s">
        <v>32</v>
      </c>
      <c r="B5" s="4">
        <v>30</v>
      </c>
      <c r="C5" s="5"/>
      <c r="D5" t="s">
        <v>33</v>
      </c>
      <c r="E5" s="4">
        <v>10</v>
      </c>
      <c r="F5" s="6"/>
      <c r="G5" t="s">
        <v>34</v>
      </c>
      <c r="H5" s="4">
        <v>2500</v>
      </c>
      <c r="I5" s="5"/>
      <c r="J5" t="s">
        <v>35</v>
      </c>
      <c r="K5" s="4">
        <v>120</v>
      </c>
    </row>
    <row r="6" spans="1:12">
      <c r="A6" t="s">
        <v>35</v>
      </c>
      <c r="B6" s="4">
        <v>18</v>
      </c>
      <c r="C6" s="5"/>
      <c r="D6" t="s">
        <v>36</v>
      </c>
      <c r="E6" s="4">
        <v>14</v>
      </c>
      <c r="F6" s="6"/>
      <c r="G6" t="s">
        <v>37</v>
      </c>
      <c r="H6" s="4">
        <v>8000</v>
      </c>
      <c r="I6" s="5"/>
      <c r="J6" t="s">
        <v>30</v>
      </c>
      <c r="K6" s="4">
        <v>90</v>
      </c>
    </row>
    <row r="7" spans="1:12">
      <c r="A7" t="s">
        <v>38</v>
      </c>
      <c r="B7" s="4">
        <v>15</v>
      </c>
      <c r="C7" s="5"/>
      <c r="D7" t="s">
        <v>38</v>
      </c>
      <c r="E7" s="4">
        <v>15</v>
      </c>
      <c r="F7" s="6"/>
      <c r="G7" t="s">
        <v>23</v>
      </c>
      <c r="H7" s="4">
        <v>250</v>
      </c>
      <c r="I7" s="5"/>
      <c r="J7" t="s">
        <v>33</v>
      </c>
      <c r="K7" s="4">
        <v>160</v>
      </c>
    </row>
    <row r="8" spans="1:12">
      <c r="A8" t="s">
        <v>39</v>
      </c>
      <c r="B8" s="4">
        <v>30</v>
      </c>
      <c r="C8" s="5"/>
      <c r="F8" s="6"/>
      <c r="G8" t="s">
        <v>40</v>
      </c>
      <c r="H8" s="4">
        <v>54000</v>
      </c>
      <c r="I8" s="5"/>
      <c r="J8" t="s">
        <v>36</v>
      </c>
      <c r="K8" s="4">
        <v>130</v>
      </c>
    </row>
    <row r="9" spans="1:12">
      <c r="C9" s="5"/>
      <c r="F9" s="6"/>
      <c r="G9" t="s">
        <v>41</v>
      </c>
      <c r="H9" s="4">
        <v>3600</v>
      </c>
      <c r="I9" s="5"/>
      <c r="J9" t="s">
        <v>38</v>
      </c>
      <c r="K9" s="4">
        <v>85</v>
      </c>
    </row>
    <row r="10" spans="1:12">
      <c r="A10" s="5"/>
      <c r="B10" s="5"/>
      <c r="C10" s="5"/>
      <c r="D10" s="5"/>
      <c r="E10" s="5"/>
      <c r="F10" s="6"/>
      <c r="G10" s="5"/>
      <c r="H10" s="5"/>
      <c r="I10" s="5"/>
    </row>
    <row r="11" spans="1:12">
      <c r="C11" s="5"/>
      <c r="F11" s="6"/>
      <c r="I11" s="5"/>
    </row>
    <row r="12" spans="1:12">
      <c r="C12" s="5"/>
      <c r="F12" s="6"/>
      <c r="I12" s="5"/>
    </row>
    <row r="13" spans="1:12">
      <c r="C13" s="5"/>
      <c r="F13" s="6"/>
      <c r="I13" s="5"/>
    </row>
    <row r="14" spans="1:12">
      <c r="C14" s="5"/>
      <c r="F14" s="5"/>
      <c r="I14" s="5"/>
    </row>
    <row r="15" spans="1:12">
      <c r="C15" s="5"/>
      <c r="F15" s="5"/>
      <c r="I15" s="5"/>
    </row>
    <row r="16" spans="1:12">
      <c r="C16" s="5"/>
      <c r="F16" s="5"/>
      <c r="I16" s="5"/>
    </row>
    <row r="17" spans="3:9">
      <c r="C17" s="5"/>
      <c r="F17" s="5"/>
      <c r="I17" s="5"/>
    </row>
    <row r="18" spans="3:9">
      <c r="C18" s="5"/>
      <c r="F18" s="5"/>
      <c r="I18" s="5"/>
    </row>
    <row r="19" spans="3:9">
      <c r="C19" s="5"/>
      <c r="F19" s="5"/>
      <c r="I19" s="5"/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workbookViewId="0">
      <selection activeCell="C9" sqref="C9"/>
    </sheetView>
  </sheetViews>
  <sheetFormatPr defaultRowHeight="15"/>
  <cols>
    <col min="2" max="2" width="9.85546875" bestFit="1" customWidth="1"/>
    <col min="3" max="3" width="15" bestFit="1" customWidth="1"/>
    <col min="6" max="6" width="10.42578125" bestFit="1" customWidth="1"/>
    <col min="7" max="7" width="11.7109375" bestFit="1" customWidth="1"/>
    <col min="8" max="8" width="9.42578125" bestFit="1" customWidth="1"/>
    <col min="10" max="10" width="10.42578125" bestFit="1" customWidth="1"/>
    <col min="11" max="12" width="11.5703125" bestFit="1" customWidth="1"/>
    <col min="13" max="13" width="12.7109375" bestFit="1" customWidth="1"/>
  </cols>
  <sheetData>
    <row r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42</v>
      </c>
      <c r="B2" s="2">
        <v>45659</v>
      </c>
      <c r="C2" t="s">
        <v>43</v>
      </c>
      <c r="D2" t="s">
        <v>44</v>
      </c>
      <c r="E2" t="s">
        <v>17</v>
      </c>
      <c r="F2" t="s">
        <v>45</v>
      </c>
      <c r="G2" t="s">
        <v>46</v>
      </c>
      <c r="H2">
        <v>3</v>
      </c>
      <c r="I2">
        <v>55000</v>
      </c>
      <c r="J2">
        <v>5</v>
      </c>
      <c r="K2">
        <v>47000</v>
      </c>
      <c r="L2" t="s">
        <v>20</v>
      </c>
      <c r="M2">
        <v>250</v>
      </c>
    </row>
    <row r="3" spans="1:13">
      <c r="A3" t="s">
        <v>47</v>
      </c>
      <c r="B3" s="2">
        <v>45660</v>
      </c>
      <c r="C3" t="s">
        <v>31</v>
      </c>
      <c r="D3" t="s">
        <v>24</v>
      </c>
      <c r="E3" t="s">
        <v>25</v>
      </c>
      <c r="F3" t="s">
        <v>48</v>
      </c>
      <c r="G3" t="s">
        <v>49</v>
      </c>
      <c r="H3">
        <v>4</v>
      </c>
      <c r="I3">
        <v>4500</v>
      </c>
      <c r="J3">
        <v>0</v>
      </c>
      <c r="K3">
        <v>3000</v>
      </c>
      <c r="L3" t="s">
        <v>20</v>
      </c>
      <c r="M3">
        <v>0</v>
      </c>
    </row>
    <row r="4" spans="1:13">
      <c r="A4" t="s">
        <v>14</v>
      </c>
      <c r="B4" s="2">
        <v>45661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>
        <v>20</v>
      </c>
      <c r="I4">
        <v>80</v>
      </c>
      <c r="J4">
        <v>10</v>
      </c>
      <c r="K4">
        <v>40</v>
      </c>
      <c r="L4" t="s">
        <v>20</v>
      </c>
      <c r="M4">
        <v>50</v>
      </c>
    </row>
    <row r="5" spans="1:13">
      <c r="A5" t="s">
        <v>50</v>
      </c>
      <c r="B5" s="2">
        <v>45662</v>
      </c>
      <c r="C5" t="s">
        <v>51</v>
      </c>
      <c r="D5" t="s">
        <v>52</v>
      </c>
      <c r="E5" t="s">
        <v>25</v>
      </c>
      <c r="F5" t="s">
        <v>45</v>
      </c>
      <c r="G5" t="s">
        <v>53</v>
      </c>
      <c r="H5">
        <v>2</v>
      </c>
      <c r="I5">
        <v>30000</v>
      </c>
      <c r="J5">
        <v>8</v>
      </c>
      <c r="K5">
        <v>22000</v>
      </c>
      <c r="L5" t="s">
        <v>20</v>
      </c>
      <c r="M5">
        <v>0</v>
      </c>
    </row>
    <row r="6" spans="1:13">
      <c r="A6" t="s">
        <v>54</v>
      </c>
      <c r="B6" s="2">
        <v>45663</v>
      </c>
      <c r="C6" t="s">
        <v>55</v>
      </c>
      <c r="D6" t="s">
        <v>44</v>
      </c>
      <c r="E6" t="s">
        <v>17</v>
      </c>
      <c r="F6" t="s">
        <v>48</v>
      </c>
      <c r="G6" t="s">
        <v>56</v>
      </c>
      <c r="H6">
        <v>1</v>
      </c>
      <c r="I6">
        <v>7000</v>
      </c>
      <c r="J6">
        <v>0</v>
      </c>
      <c r="K6">
        <v>5000</v>
      </c>
      <c r="L6" t="s">
        <v>20</v>
      </c>
      <c r="M6">
        <v>200</v>
      </c>
    </row>
    <row r="7" spans="1:13">
      <c r="A7" t="s">
        <v>57</v>
      </c>
      <c r="B7" s="2">
        <v>45664</v>
      </c>
      <c r="C7" t="s">
        <v>34</v>
      </c>
      <c r="D7" t="s">
        <v>24</v>
      </c>
      <c r="E7" t="s">
        <v>17</v>
      </c>
      <c r="F7" t="s">
        <v>45</v>
      </c>
      <c r="G7" t="s">
        <v>58</v>
      </c>
      <c r="H7">
        <v>5</v>
      </c>
      <c r="I7">
        <v>2500</v>
      </c>
      <c r="J7">
        <v>5</v>
      </c>
      <c r="K7">
        <v>1800</v>
      </c>
      <c r="L7" t="s">
        <v>20</v>
      </c>
      <c r="M7">
        <v>80</v>
      </c>
    </row>
    <row r="8" spans="1:13">
      <c r="A8" t="s">
        <v>59</v>
      </c>
      <c r="B8" s="2">
        <v>45665</v>
      </c>
      <c r="C8" t="s">
        <v>60</v>
      </c>
      <c r="D8" t="s">
        <v>16</v>
      </c>
      <c r="E8" t="s">
        <v>25</v>
      </c>
      <c r="F8" t="s">
        <v>48</v>
      </c>
      <c r="G8" t="s">
        <v>61</v>
      </c>
      <c r="H8">
        <v>2</v>
      </c>
      <c r="I8">
        <v>9000</v>
      </c>
      <c r="J8">
        <v>0</v>
      </c>
      <c r="K8">
        <v>6500</v>
      </c>
      <c r="L8" t="s">
        <v>20</v>
      </c>
      <c r="M8">
        <v>0</v>
      </c>
    </row>
    <row r="9" spans="1:13">
      <c r="A9" t="s">
        <v>62</v>
      </c>
      <c r="B9" s="2">
        <v>45667</v>
      </c>
      <c r="C9" t="s">
        <v>63</v>
      </c>
      <c r="D9" t="s">
        <v>52</v>
      </c>
      <c r="E9" t="s">
        <v>17</v>
      </c>
      <c r="F9" t="s">
        <v>18</v>
      </c>
      <c r="G9" t="s">
        <v>64</v>
      </c>
      <c r="H9">
        <v>15</v>
      </c>
      <c r="I9">
        <v>100</v>
      </c>
      <c r="J9">
        <v>15</v>
      </c>
      <c r="K9">
        <v>40</v>
      </c>
      <c r="L9" t="s">
        <v>20</v>
      </c>
      <c r="M9">
        <v>40</v>
      </c>
    </row>
    <row r="10" spans="1:13">
      <c r="A10" t="s">
        <v>65</v>
      </c>
      <c r="B10" s="2">
        <v>45668</v>
      </c>
      <c r="C10" t="s">
        <v>66</v>
      </c>
      <c r="D10" t="s">
        <v>44</v>
      </c>
      <c r="E10" t="s">
        <v>25</v>
      </c>
      <c r="F10" t="s">
        <v>45</v>
      </c>
      <c r="G10" t="s">
        <v>67</v>
      </c>
      <c r="H10">
        <v>1</v>
      </c>
      <c r="I10">
        <v>18000</v>
      </c>
      <c r="J10">
        <v>5</v>
      </c>
      <c r="K10">
        <v>13000</v>
      </c>
      <c r="L10" t="s">
        <v>68</v>
      </c>
      <c r="M10">
        <v>0</v>
      </c>
    </row>
    <row r="11" spans="1:13">
      <c r="A11" t="s">
        <v>69</v>
      </c>
      <c r="B11" s="2">
        <v>45669</v>
      </c>
      <c r="C11" t="s">
        <v>37</v>
      </c>
      <c r="D11" t="s">
        <v>24</v>
      </c>
      <c r="E11" t="s">
        <v>17</v>
      </c>
      <c r="F11" t="s">
        <v>48</v>
      </c>
      <c r="G11" t="s">
        <v>70</v>
      </c>
      <c r="H11">
        <v>1</v>
      </c>
      <c r="I11">
        <v>8000</v>
      </c>
      <c r="J11">
        <v>0</v>
      </c>
      <c r="K11">
        <v>6000</v>
      </c>
      <c r="L11" t="s">
        <v>20</v>
      </c>
      <c r="M11">
        <v>150</v>
      </c>
    </row>
    <row r="12" spans="1:13">
      <c r="A12" t="s">
        <v>71</v>
      </c>
      <c r="B12" s="2">
        <v>45670</v>
      </c>
      <c r="C12" t="s">
        <v>72</v>
      </c>
      <c r="D12" t="s">
        <v>16</v>
      </c>
      <c r="E12" t="s">
        <v>17</v>
      </c>
      <c r="F12" t="s">
        <v>18</v>
      </c>
      <c r="G12" t="s">
        <v>73</v>
      </c>
      <c r="H12">
        <v>12</v>
      </c>
      <c r="I12">
        <v>150</v>
      </c>
      <c r="J12">
        <v>10</v>
      </c>
      <c r="K12">
        <v>70</v>
      </c>
      <c r="L12" t="s">
        <v>20</v>
      </c>
      <c r="M12">
        <v>60</v>
      </c>
    </row>
    <row r="13" spans="1:13">
      <c r="A13" t="s">
        <v>74</v>
      </c>
      <c r="B13" s="2">
        <v>45671</v>
      </c>
      <c r="C13" t="s">
        <v>75</v>
      </c>
      <c r="D13" t="s">
        <v>52</v>
      </c>
      <c r="E13" t="s">
        <v>25</v>
      </c>
      <c r="F13" t="s">
        <v>45</v>
      </c>
      <c r="G13" t="s">
        <v>76</v>
      </c>
      <c r="H13">
        <v>2</v>
      </c>
      <c r="I13">
        <v>12000</v>
      </c>
      <c r="J13">
        <v>0</v>
      </c>
      <c r="K13">
        <v>9000</v>
      </c>
      <c r="L13" t="s">
        <v>20</v>
      </c>
      <c r="M13">
        <v>0</v>
      </c>
    </row>
    <row r="14" spans="1:13">
      <c r="A14" t="s">
        <v>77</v>
      </c>
      <c r="B14" s="2">
        <v>45672</v>
      </c>
      <c r="C14" t="s">
        <v>78</v>
      </c>
      <c r="D14" t="s">
        <v>44</v>
      </c>
      <c r="E14" t="s">
        <v>17</v>
      </c>
      <c r="F14" t="s">
        <v>48</v>
      </c>
      <c r="G14" t="s">
        <v>79</v>
      </c>
      <c r="H14">
        <v>1</v>
      </c>
      <c r="I14">
        <v>15000</v>
      </c>
      <c r="J14">
        <v>5</v>
      </c>
      <c r="K14">
        <v>11000</v>
      </c>
      <c r="L14" t="s">
        <v>20</v>
      </c>
      <c r="M14">
        <v>200</v>
      </c>
    </row>
    <row r="15" spans="1:13">
      <c r="A15" t="s">
        <v>22</v>
      </c>
      <c r="B15" s="2">
        <v>45674</v>
      </c>
      <c r="C15" t="s">
        <v>23</v>
      </c>
      <c r="D15" t="s">
        <v>24</v>
      </c>
      <c r="E15" t="s">
        <v>25</v>
      </c>
      <c r="F15" t="s">
        <v>18</v>
      </c>
      <c r="G15" t="s">
        <v>26</v>
      </c>
      <c r="H15">
        <v>25</v>
      </c>
      <c r="I15">
        <v>250</v>
      </c>
      <c r="J15">
        <v>10</v>
      </c>
      <c r="K15">
        <v>120</v>
      </c>
      <c r="L15" t="s">
        <v>20</v>
      </c>
      <c r="M15">
        <v>0</v>
      </c>
    </row>
    <row r="16" spans="1:13">
      <c r="A16" t="s">
        <v>80</v>
      </c>
      <c r="B16" s="2">
        <v>45675</v>
      </c>
      <c r="C16" t="s">
        <v>81</v>
      </c>
      <c r="D16" t="s">
        <v>16</v>
      </c>
      <c r="E16" t="s">
        <v>17</v>
      </c>
      <c r="F16" t="s">
        <v>45</v>
      </c>
      <c r="G16" t="s">
        <v>82</v>
      </c>
      <c r="H16">
        <v>6</v>
      </c>
      <c r="I16">
        <v>1500</v>
      </c>
      <c r="J16">
        <v>0</v>
      </c>
      <c r="K16">
        <v>900</v>
      </c>
      <c r="L16" t="s">
        <v>20</v>
      </c>
      <c r="M16">
        <v>70</v>
      </c>
    </row>
    <row r="17" spans="1:13">
      <c r="A17" t="s">
        <v>83</v>
      </c>
      <c r="B17" s="2">
        <v>45677</v>
      </c>
      <c r="C17" t="s">
        <v>84</v>
      </c>
      <c r="D17" t="s">
        <v>52</v>
      </c>
      <c r="E17" t="s">
        <v>17</v>
      </c>
      <c r="F17" t="s">
        <v>48</v>
      </c>
      <c r="G17" t="s">
        <v>85</v>
      </c>
      <c r="H17">
        <v>1</v>
      </c>
      <c r="I17">
        <v>12000</v>
      </c>
      <c r="J17">
        <v>5</v>
      </c>
      <c r="K17">
        <v>8000</v>
      </c>
      <c r="L17" t="s">
        <v>20</v>
      </c>
      <c r="M17">
        <v>250</v>
      </c>
    </row>
    <row r="18" spans="1:13">
      <c r="A18" t="s">
        <v>86</v>
      </c>
      <c r="B18" s="2">
        <v>45678</v>
      </c>
      <c r="C18" t="s">
        <v>87</v>
      </c>
      <c r="D18" t="s">
        <v>44</v>
      </c>
      <c r="E18" t="s">
        <v>25</v>
      </c>
      <c r="F18" t="s">
        <v>45</v>
      </c>
      <c r="G18" t="s">
        <v>88</v>
      </c>
      <c r="H18">
        <v>3</v>
      </c>
      <c r="I18">
        <v>9000</v>
      </c>
      <c r="J18">
        <v>0</v>
      </c>
      <c r="K18">
        <v>6500</v>
      </c>
      <c r="L18" t="s">
        <v>20</v>
      </c>
      <c r="M18">
        <v>0</v>
      </c>
    </row>
    <row r="19" spans="1:13">
      <c r="A19" t="s">
        <v>89</v>
      </c>
      <c r="B19" s="2">
        <v>45679</v>
      </c>
      <c r="C19" t="s">
        <v>32</v>
      </c>
      <c r="D19" t="s">
        <v>24</v>
      </c>
      <c r="E19" t="s">
        <v>17</v>
      </c>
      <c r="F19" t="s">
        <v>18</v>
      </c>
      <c r="G19" t="s">
        <v>90</v>
      </c>
      <c r="H19">
        <v>30</v>
      </c>
      <c r="I19">
        <v>60</v>
      </c>
      <c r="J19">
        <v>10</v>
      </c>
      <c r="K19">
        <v>30</v>
      </c>
      <c r="L19" t="s">
        <v>20</v>
      </c>
      <c r="M19">
        <v>30</v>
      </c>
    </row>
    <row r="20" spans="1:13">
      <c r="A20" t="s">
        <v>91</v>
      </c>
      <c r="B20" s="2">
        <v>45680</v>
      </c>
      <c r="C20" t="s">
        <v>92</v>
      </c>
      <c r="D20" t="s">
        <v>16</v>
      </c>
      <c r="E20" t="s">
        <v>25</v>
      </c>
      <c r="F20" t="s">
        <v>45</v>
      </c>
      <c r="G20" t="s">
        <v>93</v>
      </c>
      <c r="H20">
        <v>4</v>
      </c>
      <c r="I20">
        <v>3500</v>
      </c>
      <c r="J20">
        <v>5</v>
      </c>
      <c r="K20">
        <v>2500</v>
      </c>
      <c r="L20" t="s">
        <v>68</v>
      </c>
      <c r="M20">
        <v>0</v>
      </c>
    </row>
    <row r="21" spans="1:13">
      <c r="A21" t="s">
        <v>94</v>
      </c>
      <c r="B21" s="2">
        <v>45682</v>
      </c>
      <c r="C21" t="s">
        <v>95</v>
      </c>
      <c r="D21" t="s">
        <v>52</v>
      </c>
      <c r="E21" t="s">
        <v>17</v>
      </c>
      <c r="F21" t="s">
        <v>48</v>
      </c>
      <c r="G21" t="s">
        <v>96</v>
      </c>
      <c r="H21">
        <v>1</v>
      </c>
      <c r="I21">
        <v>6000</v>
      </c>
      <c r="J21">
        <v>0</v>
      </c>
      <c r="K21">
        <v>4200</v>
      </c>
      <c r="L21" t="s">
        <v>20</v>
      </c>
      <c r="M21">
        <v>150</v>
      </c>
    </row>
    <row r="22" spans="1:13">
      <c r="A22" t="s">
        <v>97</v>
      </c>
      <c r="B22" s="2">
        <v>45689</v>
      </c>
      <c r="C22" t="s">
        <v>98</v>
      </c>
      <c r="D22" t="s">
        <v>44</v>
      </c>
      <c r="E22" t="s">
        <v>25</v>
      </c>
      <c r="F22" t="s">
        <v>45</v>
      </c>
      <c r="G22" t="s">
        <v>46</v>
      </c>
      <c r="H22">
        <v>2</v>
      </c>
      <c r="I22">
        <v>52000</v>
      </c>
      <c r="J22">
        <v>5</v>
      </c>
      <c r="K22">
        <v>45000</v>
      </c>
      <c r="L22" t="s">
        <v>20</v>
      </c>
      <c r="M22">
        <v>0</v>
      </c>
    </row>
    <row r="23" spans="1:13">
      <c r="A23" t="s">
        <v>99</v>
      </c>
      <c r="B23" s="2">
        <v>45690</v>
      </c>
      <c r="C23" t="s">
        <v>35</v>
      </c>
      <c r="D23" t="s">
        <v>24</v>
      </c>
      <c r="E23" t="s">
        <v>17</v>
      </c>
      <c r="F23" t="s">
        <v>18</v>
      </c>
      <c r="G23" t="s">
        <v>100</v>
      </c>
      <c r="H23">
        <v>18</v>
      </c>
      <c r="I23">
        <v>120</v>
      </c>
      <c r="J23">
        <v>10</v>
      </c>
      <c r="K23">
        <v>60</v>
      </c>
      <c r="L23" t="s">
        <v>20</v>
      </c>
      <c r="M23">
        <v>40</v>
      </c>
    </row>
    <row r="24" spans="1:13">
      <c r="A24" t="s">
        <v>101</v>
      </c>
      <c r="B24" s="2">
        <v>45691</v>
      </c>
      <c r="C24" t="s">
        <v>102</v>
      </c>
      <c r="D24" t="s">
        <v>16</v>
      </c>
      <c r="E24" t="s">
        <v>25</v>
      </c>
      <c r="F24" t="s">
        <v>48</v>
      </c>
      <c r="G24" t="s">
        <v>56</v>
      </c>
      <c r="H24">
        <v>1</v>
      </c>
      <c r="I24">
        <v>7200</v>
      </c>
      <c r="J24">
        <v>0</v>
      </c>
      <c r="K24">
        <v>5200</v>
      </c>
      <c r="L24" t="s">
        <v>20</v>
      </c>
      <c r="M24">
        <v>0</v>
      </c>
    </row>
    <row r="25" spans="1:13">
      <c r="A25" t="s">
        <v>103</v>
      </c>
      <c r="B25" s="2">
        <v>45692</v>
      </c>
      <c r="C25" t="s">
        <v>104</v>
      </c>
      <c r="D25" t="s">
        <v>52</v>
      </c>
      <c r="E25" t="s">
        <v>17</v>
      </c>
      <c r="F25" t="s">
        <v>45</v>
      </c>
      <c r="G25" t="s">
        <v>53</v>
      </c>
      <c r="H25">
        <v>1</v>
      </c>
      <c r="I25">
        <v>31000</v>
      </c>
      <c r="J25">
        <v>5</v>
      </c>
      <c r="K25">
        <v>23000</v>
      </c>
      <c r="L25" t="s">
        <v>20</v>
      </c>
      <c r="M25">
        <v>100</v>
      </c>
    </row>
    <row r="26" spans="1:13">
      <c r="A26" t="s">
        <v>105</v>
      </c>
      <c r="B26" s="2">
        <v>45693</v>
      </c>
      <c r="C26" t="s">
        <v>106</v>
      </c>
      <c r="D26" t="s">
        <v>44</v>
      </c>
      <c r="E26" t="s">
        <v>17</v>
      </c>
      <c r="F26" t="s">
        <v>48</v>
      </c>
      <c r="G26" t="s">
        <v>61</v>
      </c>
      <c r="H26">
        <v>1</v>
      </c>
      <c r="I26">
        <v>9500</v>
      </c>
      <c r="J26">
        <v>0</v>
      </c>
      <c r="K26">
        <v>6800</v>
      </c>
      <c r="L26" t="s">
        <v>20</v>
      </c>
      <c r="M26">
        <v>200</v>
      </c>
    </row>
    <row r="27" spans="1:13">
      <c r="A27" t="s">
        <v>107</v>
      </c>
      <c r="B27" s="2">
        <v>45694</v>
      </c>
      <c r="C27" t="s">
        <v>30</v>
      </c>
      <c r="D27" t="s">
        <v>24</v>
      </c>
      <c r="E27" t="s">
        <v>25</v>
      </c>
      <c r="F27" t="s">
        <v>18</v>
      </c>
      <c r="G27" t="s">
        <v>19</v>
      </c>
      <c r="H27">
        <v>10</v>
      </c>
      <c r="I27">
        <v>90</v>
      </c>
      <c r="J27">
        <v>5</v>
      </c>
      <c r="K27">
        <v>50</v>
      </c>
      <c r="L27" t="s">
        <v>20</v>
      </c>
      <c r="M27">
        <v>0</v>
      </c>
    </row>
    <row r="28" spans="1:13">
      <c r="A28" t="s">
        <v>108</v>
      </c>
      <c r="B28" s="2">
        <v>45695</v>
      </c>
      <c r="C28" t="s">
        <v>109</v>
      </c>
      <c r="D28" t="s">
        <v>16</v>
      </c>
      <c r="E28" t="s">
        <v>17</v>
      </c>
      <c r="F28" t="s">
        <v>45</v>
      </c>
      <c r="G28" t="s">
        <v>58</v>
      </c>
      <c r="H28">
        <v>3</v>
      </c>
      <c r="I28">
        <v>2600</v>
      </c>
      <c r="J28">
        <v>5</v>
      </c>
      <c r="K28">
        <v>1800</v>
      </c>
      <c r="L28" t="s">
        <v>20</v>
      </c>
      <c r="M28">
        <v>60</v>
      </c>
    </row>
    <row r="29" spans="1:13">
      <c r="A29" t="s">
        <v>110</v>
      </c>
      <c r="B29" s="2">
        <v>45696</v>
      </c>
      <c r="C29" t="s">
        <v>111</v>
      </c>
      <c r="D29" t="s">
        <v>52</v>
      </c>
      <c r="E29" t="s">
        <v>25</v>
      </c>
      <c r="F29" t="s">
        <v>48</v>
      </c>
      <c r="G29" t="s">
        <v>70</v>
      </c>
      <c r="H29">
        <v>1</v>
      </c>
      <c r="I29">
        <v>8200</v>
      </c>
      <c r="J29">
        <v>0</v>
      </c>
      <c r="K29">
        <v>6000</v>
      </c>
      <c r="L29" t="s">
        <v>20</v>
      </c>
      <c r="M29">
        <v>0</v>
      </c>
    </row>
    <row r="30" spans="1:13">
      <c r="A30" t="s">
        <v>112</v>
      </c>
      <c r="B30" s="2">
        <v>45698</v>
      </c>
      <c r="C30" t="s">
        <v>113</v>
      </c>
      <c r="D30" t="s">
        <v>44</v>
      </c>
      <c r="E30" t="s">
        <v>17</v>
      </c>
      <c r="F30" t="s">
        <v>45</v>
      </c>
      <c r="G30" t="s">
        <v>76</v>
      </c>
      <c r="H30">
        <v>1</v>
      </c>
      <c r="I30">
        <v>12500</v>
      </c>
      <c r="J30">
        <v>0</v>
      </c>
      <c r="K30">
        <v>9000</v>
      </c>
      <c r="L30" t="s">
        <v>20</v>
      </c>
      <c r="M30">
        <v>150</v>
      </c>
    </row>
    <row r="31" spans="1:13">
      <c r="A31" t="s">
        <v>114</v>
      </c>
      <c r="B31" s="2">
        <v>45700</v>
      </c>
      <c r="C31" t="s">
        <v>33</v>
      </c>
      <c r="D31" t="s">
        <v>24</v>
      </c>
      <c r="E31" t="s">
        <v>17</v>
      </c>
      <c r="F31" t="s">
        <v>18</v>
      </c>
      <c r="G31" t="s">
        <v>73</v>
      </c>
      <c r="H31">
        <v>10</v>
      </c>
      <c r="I31">
        <v>160</v>
      </c>
      <c r="J31">
        <v>10</v>
      </c>
      <c r="K31">
        <v>70</v>
      </c>
      <c r="L31" t="s">
        <v>20</v>
      </c>
      <c r="M31">
        <v>40</v>
      </c>
    </row>
    <row r="32" spans="1:13">
      <c r="A32" t="s">
        <v>115</v>
      </c>
      <c r="B32" s="2">
        <v>45701</v>
      </c>
      <c r="C32" t="s">
        <v>116</v>
      </c>
      <c r="D32" t="s">
        <v>16</v>
      </c>
      <c r="E32" t="s">
        <v>25</v>
      </c>
      <c r="F32" t="s">
        <v>48</v>
      </c>
      <c r="G32" t="s">
        <v>79</v>
      </c>
      <c r="H32">
        <v>1</v>
      </c>
      <c r="I32">
        <v>15500</v>
      </c>
      <c r="J32">
        <v>5</v>
      </c>
      <c r="K32">
        <v>11500</v>
      </c>
      <c r="L32" t="s">
        <v>20</v>
      </c>
      <c r="M32">
        <v>0</v>
      </c>
    </row>
    <row r="33" spans="1:13">
      <c r="A33" t="s">
        <v>117</v>
      </c>
      <c r="B33" s="2">
        <v>45702</v>
      </c>
      <c r="C33" t="s">
        <v>118</v>
      </c>
      <c r="D33" t="s">
        <v>52</v>
      </c>
      <c r="E33" t="s">
        <v>17</v>
      </c>
      <c r="F33" t="s">
        <v>45</v>
      </c>
      <c r="G33" t="s">
        <v>82</v>
      </c>
      <c r="H33">
        <v>4</v>
      </c>
      <c r="I33">
        <v>1400</v>
      </c>
      <c r="J33">
        <v>0</v>
      </c>
      <c r="K33">
        <v>900</v>
      </c>
      <c r="L33" t="s">
        <v>20</v>
      </c>
      <c r="M33">
        <v>80</v>
      </c>
    </row>
    <row r="34" spans="1:13">
      <c r="A34" t="s">
        <v>119</v>
      </c>
      <c r="B34" s="2">
        <v>45703</v>
      </c>
      <c r="C34" t="s">
        <v>120</v>
      </c>
      <c r="D34" t="s">
        <v>44</v>
      </c>
      <c r="E34" t="s">
        <v>25</v>
      </c>
      <c r="F34" t="s">
        <v>18</v>
      </c>
      <c r="G34" t="s">
        <v>26</v>
      </c>
      <c r="H34">
        <v>20</v>
      </c>
      <c r="I34">
        <v>260</v>
      </c>
      <c r="J34">
        <v>10</v>
      </c>
      <c r="K34">
        <v>130</v>
      </c>
      <c r="L34" t="s">
        <v>20</v>
      </c>
      <c r="M34">
        <v>0</v>
      </c>
    </row>
    <row r="35" spans="1:13">
      <c r="A35" t="s">
        <v>121</v>
      </c>
      <c r="B35" s="2">
        <v>45704</v>
      </c>
      <c r="C35" t="s">
        <v>40</v>
      </c>
      <c r="D35" t="s">
        <v>24</v>
      </c>
      <c r="E35" t="s">
        <v>17</v>
      </c>
      <c r="F35" t="s">
        <v>45</v>
      </c>
      <c r="G35" t="s">
        <v>46</v>
      </c>
      <c r="H35">
        <v>1</v>
      </c>
      <c r="I35">
        <v>54000</v>
      </c>
      <c r="J35">
        <v>5</v>
      </c>
      <c r="K35">
        <v>46000</v>
      </c>
      <c r="L35" t="s">
        <v>20</v>
      </c>
      <c r="M35">
        <v>200</v>
      </c>
    </row>
    <row r="36" spans="1:13">
      <c r="A36" t="s">
        <v>122</v>
      </c>
      <c r="B36" s="2">
        <v>45706</v>
      </c>
      <c r="C36" t="s">
        <v>123</v>
      </c>
      <c r="D36" t="s">
        <v>16</v>
      </c>
      <c r="E36" t="s">
        <v>25</v>
      </c>
      <c r="F36" t="s">
        <v>48</v>
      </c>
      <c r="G36" t="s">
        <v>85</v>
      </c>
      <c r="H36">
        <v>1</v>
      </c>
      <c r="I36">
        <v>11800</v>
      </c>
      <c r="J36">
        <v>0</v>
      </c>
      <c r="K36">
        <v>8000</v>
      </c>
      <c r="L36" t="s">
        <v>20</v>
      </c>
      <c r="M36">
        <v>0</v>
      </c>
    </row>
    <row r="37" spans="1:13">
      <c r="A37" t="s">
        <v>124</v>
      </c>
      <c r="B37" s="2">
        <v>45707</v>
      </c>
      <c r="C37" t="s">
        <v>125</v>
      </c>
      <c r="D37" t="s">
        <v>52</v>
      </c>
      <c r="E37" t="s">
        <v>17</v>
      </c>
      <c r="F37" t="s">
        <v>18</v>
      </c>
      <c r="G37" t="s">
        <v>90</v>
      </c>
      <c r="H37">
        <v>22</v>
      </c>
      <c r="I37">
        <v>50</v>
      </c>
      <c r="J37">
        <v>10</v>
      </c>
      <c r="K37">
        <v>25</v>
      </c>
      <c r="L37" t="s">
        <v>20</v>
      </c>
      <c r="M37">
        <v>30</v>
      </c>
    </row>
    <row r="38" spans="1:13">
      <c r="A38" t="s">
        <v>126</v>
      </c>
      <c r="B38" s="2">
        <v>45708</v>
      </c>
      <c r="C38" t="s">
        <v>127</v>
      </c>
      <c r="D38" t="s">
        <v>44</v>
      </c>
      <c r="E38" t="s">
        <v>25</v>
      </c>
      <c r="F38" t="s">
        <v>45</v>
      </c>
      <c r="G38" t="s">
        <v>88</v>
      </c>
      <c r="H38">
        <v>2</v>
      </c>
      <c r="I38">
        <v>9500</v>
      </c>
      <c r="J38">
        <v>5</v>
      </c>
      <c r="K38">
        <v>6700</v>
      </c>
      <c r="L38" t="s">
        <v>20</v>
      </c>
      <c r="M38">
        <v>0</v>
      </c>
    </row>
    <row r="39" spans="1:13">
      <c r="A39" t="s">
        <v>128</v>
      </c>
      <c r="B39" s="2">
        <v>45709</v>
      </c>
      <c r="C39" t="s">
        <v>41</v>
      </c>
      <c r="D39" t="s">
        <v>24</v>
      </c>
      <c r="E39" t="s">
        <v>17</v>
      </c>
      <c r="F39" t="s">
        <v>45</v>
      </c>
      <c r="G39" t="s">
        <v>93</v>
      </c>
      <c r="H39">
        <v>3</v>
      </c>
      <c r="I39">
        <v>3600</v>
      </c>
      <c r="J39">
        <v>5</v>
      </c>
      <c r="K39">
        <v>2600</v>
      </c>
      <c r="L39" t="s">
        <v>20</v>
      </c>
      <c r="M39">
        <v>50</v>
      </c>
    </row>
    <row r="40" spans="1:13">
      <c r="A40" t="s">
        <v>129</v>
      </c>
      <c r="B40" s="2">
        <v>45710</v>
      </c>
      <c r="C40" t="s">
        <v>130</v>
      </c>
      <c r="D40" t="s">
        <v>16</v>
      </c>
      <c r="E40" t="s">
        <v>17</v>
      </c>
      <c r="F40" t="s">
        <v>48</v>
      </c>
      <c r="G40" t="s">
        <v>49</v>
      </c>
      <c r="H40">
        <v>2</v>
      </c>
      <c r="I40">
        <v>4700</v>
      </c>
      <c r="J40">
        <v>0</v>
      </c>
      <c r="K40">
        <v>3100</v>
      </c>
      <c r="L40" t="s">
        <v>20</v>
      </c>
      <c r="M40">
        <v>120</v>
      </c>
    </row>
    <row r="41" spans="1:13">
      <c r="A41" t="s">
        <v>131</v>
      </c>
      <c r="B41" s="2">
        <v>45712</v>
      </c>
      <c r="C41" t="s">
        <v>132</v>
      </c>
      <c r="D41" t="s">
        <v>52</v>
      </c>
      <c r="E41" t="s">
        <v>25</v>
      </c>
      <c r="F41" t="s">
        <v>45</v>
      </c>
      <c r="G41" t="s">
        <v>67</v>
      </c>
      <c r="H41">
        <v>1</v>
      </c>
      <c r="I41">
        <v>18500</v>
      </c>
      <c r="J41">
        <v>5</v>
      </c>
      <c r="K41">
        <v>13000</v>
      </c>
      <c r="L41" t="s">
        <v>20</v>
      </c>
      <c r="M41">
        <v>0</v>
      </c>
    </row>
    <row r="42" spans="1:13">
      <c r="A42" t="s">
        <v>133</v>
      </c>
      <c r="B42" s="2">
        <v>45717</v>
      </c>
      <c r="C42" t="s">
        <v>134</v>
      </c>
      <c r="D42" t="s">
        <v>44</v>
      </c>
      <c r="E42" t="s">
        <v>17</v>
      </c>
      <c r="F42" t="s">
        <v>48</v>
      </c>
      <c r="G42" t="s">
        <v>96</v>
      </c>
      <c r="H42">
        <v>1</v>
      </c>
      <c r="I42">
        <v>6200</v>
      </c>
      <c r="J42">
        <v>0</v>
      </c>
      <c r="K42">
        <v>4200</v>
      </c>
      <c r="L42" t="s">
        <v>20</v>
      </c>
      <c r="M42">
        <v>150</v>
      </c>
    </row>
    <row r="43" spans="1:13">
      <c r="A43" t="s">
        <v>135</v>
      </c>
      <c r="B43" s="2">
        <v>45718</v>
      </c>
      <c r="C43" t="s">
        <v>36</v>
      </c>
      <c r="D43" t="s">
        <v>24</v>
      </c>
      <c r="E43" t="s">
        <v>25</v>
      </c>
      <c r="F43" t="s">
        <v>18</v>
      </c>
      <c r="G43" t="s">
        <v>100</v>
      </c>
      <c r="H43">
        <v>14</v>
      </c>
      <c r="I43">
        <v>130</v>
      </c>
      <c r="J43">
        <v>10</v>
      </c>
      <c r="K43">
        <v>60</v>
      </c>
      <c r="L43" t="s">
        <v>20</v>
      </c>
      <c r="M43">
        <v>0</v>
      </c>
    </row>
    <row r="44" spans="1:13">
      <c r="A44" t="s">
        <v>136</v>
      </c>
      <c r="B44" s="2">
        <v>45719</v>
      </c>
      <c r="C44" t="s">
        <v>137</v>
      </c>
      <c r="D44" t="s">
        <v>16</v>
      </c>
      <c r="E44" t="s">
        <v>17</v>
      </c>
      <c r="F44" t="s">
        <v>45</v>
      </c>
      <c r="G44" t="s">
        <v>53</v>
      </c>
      <c r="H44">
        <v>1</v>
      </c>
      <c r="I44">
        <v>32000</v>
      </c>
      <c r="J44">
        <v>5</v>
      </c>
      <c r="K44">
        <v>23000</v>
      </c>
      <c r="L44" t="s">
        <v>20</v>
      </c>
      <c r="M44">
        <v>100</v>
      </c>
    </row>
    <row r="45" spans="1:13">
      <c r="A45" t="s">
        <v>138</v>
      </c>
      <c r="B45" s="2">
        <v>45720</v>
      </c>
      <c r="C45" t="s">
        <v>139</v>
      </c>
      <c r="D45" t="s">
        <v>52</v>
      </c>
      <c r="E45" t="s">
        <v>25</v>
      </c>
      <c r="F45" t="s">
        <v>48</v>
      </c>
      <c r="G45" t="s">
        <v>56</v>
      </c>
      <c r="H45">
        <v>1</v>
      </c>
      <c r="I45">
        <v>7100</v>
      </c>
      <c r="J45">
        <v>0</v>
      </c>
      <c r="K45">
        <v>5200</v>
      </c>
      <c r="L45" t="s">
        <v>20</v>
      </c>
      <c r="M45">
        <v>0</v>
      </c>
    </row>
    <row r="46" spans="1:13">
      <c r="A46" t="s">
        <v>140</v>
      </c>
      <c r="B46" s="2">
        <v>45721</v>
      </c>
      <c r="C46" t="s">
        <v>141</v>
      </c>
      <c r="D46" t="s">
        <v>44</v>
      </c>
      <c r="E46" t="s">
        <v>17</v>
      </c>
      <c r="F46" t="s">
        <v>45</v>
      </c>
      <c r="G46" t="s">
        <v>76</v>
      </c>
      <c r="H46">
        <v>2</v>
      </c>
      <c r="I46">
        <v>13000</v>
      </c>
      <c r="J46">
        <v>0</v>
      </c>
      <c r="K46">
        <v>9000</v>
      </c>
      <c r="L46" t="s">
        <v>20</v>
      </c>
      <c r="M46">
        <v>200</v>
      </c>
    </row>
    <row r="47" spans="1:13">
      <c r="A47" t="s">
        <v>142</v>
      </c>
      <c r="B47" s="2">
        <v>45722</v>
      </c>
      <c r="C47" t="s">
        <v>38</v>
      </c>
      <c r="D47" t="s">
        <v>24</v>
      </c>
      <c r="E47" t="s">
        <v>17</v>
      </c>
      <c r="F47" t="s">
        <v>18</v>
      </c>
      <c r="G47" t="s">
        <v>19</v>
      </c>
      <c r="H47">
        <v>15</v>
      </c>
      <c r="I47">
        <v>85</v>
      </c>
      <c r="J47">
        <v>5</v>
      </c>
      <c r="K47">
        <v>45</v>
      </c>
      <c r="L47" t="s">
        <v>20</v>
      </c>
      <c r="M47">
        <v>40</v>
      </c>
    </row>
    <row r="48" spans="1:13">
      <c r="A48" t="s">
        <v>143</v>
      </c>
      <c r="B48" s="2">
        <v>45723</v>
      </c>
      <c r="C48" t="s">
        <v>144</v>
      </c>
      <c r="D48" t="s">
        <v>16</v>
      </c>
      <c r="E48" t="s">
        <v>25</v>
      </c>
      <c r="F48" t="s">
        <v>45</v>
      </c>
      <c r="G48" t="s">
        <v>82</v>
      </c>
      <c r="H48">
        <v>3</v>
      </c>
      <c r="I48">
        <v>1600</v>
      </c>
      <c r="J48">
        <v>0</v>
      </c>
      <c r="K48">
        <v>900</v>
      </c>
      <c r="L48" t="s">
        <v>20</v>
      </c>
      <c r="M48">
        <v>0</v>
      </c>
    </row>
    <row r="49" spans="1:13">
      <c r="A49" t="s">
        <v>145</v>
      </c>
      <c r="B49" s="2">
        <v>45724</v>
      </c>
      <c r="C49" t="s">
        <v>146</v>
      </c>
      <c r="D49" t="s">
        <v>52</v>
      </c>
      <c r="E49" t="s">
        <v>17</v>
      </c>
      <c r="F49" t="s">
        <v>48</v>
      </c>
      <c r="G49" t="s">
        <v>70</v>
      </c>
      <c r="H49">
        <v>1</v>
      </c>
      <c r="I49">
        <v>8400</v>
      </c>
      <c r="J49">
        <v>0</v>
      </c>
      <c r="K49">
        <v>6000</v>
      </c>
      <c r="L49" t="s">
        <v>20</v>
      </c>
      <c r="M49">
        <v>180</v>
      </c>
    </row>
    <row r="50" spans="1:13">
      <c r="A50" t="s">
        <v>147</v>
      </c>
      <c r="B50" s="2">
        <v>45725</v>
      </c>
      <c r="C50" t="s">
        <v>148</v>
      </c>
      <c r="D50" t="s">
        <v>44</v>
      </c>
      <c r="E50" t="s">
        <v>25</v>
      </c>
      <c r="F50" t="s">
        <v>45</v>
      </c>
      <c r="G50" t="s">
        <v>88</v>
      </c>
      <c r="H50">
        <v>1</v>
      </c>
      <c r="I50">
        <v>9300</v>
      </c>
      <c r="J50">
        <v>5</v>
      </c>
      <c r="K50">
        <v>6700</v>
      </c>
      <c r="L50" t="s">
        <v>68</v>
      </c>
      <c r="M50">
        <v>0</v>
      </c>
    </row>
    <row r="51" spans="1:13">
      <c r="A51" t="s">
        <v>149</v>
      </c>
      <c r="B51" s="2">
        <v>45726</v>
      </c>
      <c r="C51" t="s">
        <v>39</v>
      </c>
      <c r="D51" t="s">
        <v>24</v>
      </c>
      <c r="E51" t="s">
        <v>17</v>
      </c>
      <c r="F51" t="s">
        <v>18</v>
      </c>
      <c r="G51" t="s">
        <v>26</v>
      </c>
      <c r="H51">
        <v>30</v>
      </c>
      <c r="I51">
        <v>240</v>
      </c>
      <c r="J51">
        <v>10</v>
      </c>
      <c r="K51">
        <v>120</v>
      </c>
      <c r="L51" t="s">
        <v>20</v>
      </c>
      <c r="M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Pulle Greeshma</cp:lastModifiedBy>
  <cp:revision/>
  <dcterms:created xsi:type="dcterms:W3CDTF">2025-11-06T09:15:39Z</dcterms:created>
  <dcterms:modified xsi:type="dcterms:W3CDTF">2025-11-07T06:11:18Z</dcterms:modified>
  <cp:category/>
  <cp:contentStatus/>
</cp:coreProperties>
</file>